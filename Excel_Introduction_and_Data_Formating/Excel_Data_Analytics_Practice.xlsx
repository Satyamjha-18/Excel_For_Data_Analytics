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ink/ink2.xml" ContentType="application/inkml+xml"/>
  <Override PartName="/xl/ink/ink3.xml" ContentType="application/inkml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ink/ink4.xml" ContentType="application/inkml+xml"/>
  <Override PartName="/xl/drawings/drawing4.xml" ContentType="application/vnd.openxmlformats-officedocument.drawing+xml"/>
  <Override PartName="/xl/ink/ink5.xml" ContentType="application/inkml+xml"/>
  <Override PartName="/xl/ink/ink6.xml" ContentType="application/inkml+xml"/>
  <Override PartName="/xl/ink/ink7.xml" ContentType="application/inkml+xml"/>
  <Override PartName="/xl/drawings/drawing5.xml" ContentType="application/vnd.openxmlformats-officedocument.drawing+xml"/>
  <Override PartName="/xl/ink/ink8.xml" ContentType="application/inkml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ink/ink9.xml" ContentType="application/inkml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01621777f20dcb/Desktop/Excel_For_Data_Analytics/Excel_Introduction_and_Data_Formating/"/>
    </mc:Choice>
  </mc:AlternateContent>
  <xr:revisionPtr revIDLastSave="3113" documentId="8_{5BFF8888-E61D-45DF-9242-3D43603A95FF}" xr6:coauthVersionLast="47" xr6:coauthVersionMax="47" xr10:uidLastSave="{F60648BB-CC72-4BDC-A5F3-02FEA46C244C}"/>
  <bookViews>
    <workbookView xWindow="-96" yWindow="0" windowWidth="11712" windowHeight="12336" firstSheet="23" activeTab="24" xr2:uid="{E6744EAD-35E1-4258-81F8-3CB7F274373C}"/>
  </bookViews>
  <sheets>
    <sheet name="Excel Interface" sheetId="1" r:id="rId1"/>
    <sheet name="Data Formating " sheetId="2" r:id="rId2"/>
    <sheet name="Data Type" sheetId="3" r:id="rId3"/>
    <sheet name="sorting and Filtering" sheetId="5" r:id="rId4"/>
    <sheet name="Basic formula and functions" sheetId="6" r:id="rId5"/>
    <sheet name="Cell referencing and Percentage" sheetId="7" r:id="rId6"/>
    <sheet name="Text Function" sheetId="8" r:id="rId7"/>
    <sheet name="Data Filtering" sheetId="12" r:id="rId8"/>
    <sheet name="Date &amp; Time Function" sheetId="9" r:id="rId9"/>
    <sheet name="If &amp; Ifs" sheetId="10" r:id="rId10"/>
    <sheet name="Logical Operators" sheetId="14" r:id="rId11"/>
    <sheet name="logical Function" sheetId="13" r:id="rId12"/>
    <sheet name="HLOOKUP " sheetId="15" r:id="rId13"/>
    <sheet name="Vlookup" sheetId="16" r:id="rId14"/>
    <sheet name="LOOKUP" sheetId="18" r:id="rId15"/>
    <sheet name="XLOOKUP" sheetId="17" r:id="rId16"/>
    <sheet name="Index and Match Function" sheetId="19" r:id="rId17"/>
    <sheet name="Data Validation" sheetId="20" r:id="rId18"/>
    <sheet name="Paste Special" sheetId="21" r:id="rId19"/>
    <sheet name="Conditional Formatting" sheetId="22" r:id="rId20"/>
    <sheet name="Scenario manager" sheetId="23" r:id="rId21"/>
    <sheet name="Scenario Summary" sheetId="28" r:id="rId22"/>
    <sheet name="Goal seek-1" sheetId="25" r:id="rId23"/>
    <sheet name="Goal seek-2" sheetId="24" r:id="rId24"/>
    <sheet name="Data Table" sheetId="29" r:id="rId25"/>
  </sheets>
  <definedNames>
    <definedName name="CPU">'Scenario manager'!$C$9</definedName>
    <definedName name="Motherboards">'Scenario manager'!$C$4</definedName>
    <definedName name="RAM">'Scenario manager'!$C$5</definedName>
    <definedName name="Speakers">'Scenario manager'!$C$6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3" i="29" l="1"/>
  <c r="D39" i="29" s="1"/>
  <c r="C14" i="29"/>
  <c r="G3" i="29" s="1"/>
  <c r="C26" i="29"/>
  <c r="G23" i="29" s="1"/>
  <c r="D14" i="24"/>
  <c r="D7" i="24"/>
  <c r="C14" i="23"/>
  <c r="G15" i="19"/>
  <c r="G17" i="19"/>
  <c r="G16" i="19"/>
  <c r="J12" i="19" a="1"/>
  <c r="J12" i="19" s="1"/>
  <c r="K12" i="19" a="1"/>
  <c r="K12" i="19" s="1"/>
  <c r="I12" i="19" a="1"/>
  <c r="I12" i="19" s="1"/>
  <c r="H12" i="19" a="1"/>
  <c r="H12" i="19"/>
  <c r="I11" i="19" a="1"/>
  <c r="I11" i="19" s="1"/>
  <c r="J11" i="19" a="1"/>
  <c r="J11" i="19"/>
  <c r="K11" i="19" a="1"/>
  <c r="K11" i="19" s="1"/>
  <c r="H11" i="19" a="1"/>
  <c r="H11" i="19"/>
  <c r="J10" i="19" a="1"/>
  <c r="J10" i="19" s="1"/>
  <c r="I10" i="19" a="1"/>
  <c r="I10" i="19"/>
  <c r="K10" i="19" a="1"/>
  <c r="K10" i="19"/>
  <c r="H10" i="19" a="1"/>
  <c r="H10" i="19" s="1"/>
  <c r="L4" i="19"/>
  <c r="K4" i="19"/>
  <c r="J4" i="19"/>
  <c r="I4" i="19"/>
  <c r="H4" i="19"/>
  <c r="G18" i="19"/>
  <c r="I69" i="17" l="1" a="1"/>
  <c r="I69" i="17" s="1"/>
  <c r="I70" i="17" a="1"/>
  <c r="I70" i="17" s="1"/>
  <c r="I71" i="17" a="1"/>
  <c r="I71" i="17" s="1"/>
  <c r="I72" i="17" a="1"/>
  <c r="I72" i="17"/>
  <c r="I73" i="17" a="1"/>
  <c r="I73" i="17"/>
  <c r="I74" i="17" a="1"/>
  <c r="I74" i="17"/>
  <c r="I68" i="17" a="1"/>
  <c r="I68" i="17"/>
  <c r="H60" i="17" a="1"/>
  <c r="H60" i="17" s="1"/>
  <c r="H59" i="17" a="1"/>
  <c r="H59" i="17" s="1"/>
  <c r="H58" i="17" a="1"/>
  <c r="H58" i="17" s="1"/>
  <c r="H57" i="17" a="1"/>
  <c r="H57" i="17" s="1"/>
  <c r="H61" i="17" a="1"/>
  <c r="H61" i="17"/>
  <c r="H56" i="17" a="1"/>
  <c r="H56" i="17" s="1"/>
  <c r="I52" i="17"/>
  <c r="I51" i="17"/>
  <c r="I50" i="17"/>
  <c r="I49" i="17"/>
  <c r="I48" i="17"/>
  <c r="I47" i="17"/>
  <c r="H52" i="17"/>
  <c r="H51" i="17"/>
  <c r="H50" i="17"/>
  <c r="H49" i="17"/>
  <c r="H48" i="17"/>
  <c r="H47" i="17"/>
  <c r="D30" i="17"/>
  <c r="D31" i="17"/>
  <c r="D32" i="17"/>
  <c r="D33" i="17"/>
  <c r="D34" i="17"/>
  <c r="D35" i="17"/>
  <c r="D36" i="17"/>
  <c r="D37" i="17"/>
  <c r="D29" i="17"/>
  <c r="D28" i="17"/>
  <c r="C35" i="17"/>
  <c r="C34" i="17"/>
  <c r="C31" i="17"/>
  <c r="C32" i="17"/>
  <c r="C33" i="17"/>
  <c r="C36" i="17"/>
  <c r="C37" i="17"/>
  <c r="C29" i="17"/>
  <c r="C30" i="17"/>
  <c r="C28" i="17"/>
  <c r="I9" i="17"/>
  <c r="I10" i="17"/>
  <c r="I11" i="17"/>
  <c r="I12" i="17"/>
  <c r="I13" i="17"/>
  <c r="I14" i="17"/>
  <c r="I15" i="17"/>
  <c r="I8" i="17"/>
  <c r="H8" i="17"/>
  <c r="I7" i="17"/>
  <c r="H10" i="17"/>
  <c r="H11" i="17"/>
  <c r="H12" i="17"/>
  <c r="H13" i="17"/>
  <c r="H14" i="17"/>
  <c r="H15" i="17"/>
  <c r="H9" i="17"/>
  <c r="H7" i="17"/>
  <c r="K31" i="18"/>
  <c r="O59" i="18"/>
  <c r="L31" i="18"/>
  <c r="N32" i="18"/>
  <c r="N33" i="18"/>
  <c r="N34" i="18"/>
  <c r="N35" i="18"/>
  <c r="N36" i="18"/>
  <c r="N37" i="18"/>
  <c r="N31" i="18"/>
  <c r="M32" i="18"/>
  <c r="M33" i="18"/>
  <c r="M34" i="18"/>
  <c r="M35" i="18"/>
  <c r="M36" i="18"/>
  <c r="M37" i="18"/>
  <c r="M31" i="18"/>
  <c r="L32" i="18"/>
  <c r="L33" i="18"/>
  <c r="L34" i="18"/>
  <c r="L35" i="18"/>
  <c r="L36" i="18"/>
  <c r="L37" i="18"/>
  <c r="K32" i="18"/>
  <c r="K33" i="18"/>
  <c r="K34" i="18"/>
  <c r="K35" i="18"/>
  <c r="K36" i="18"/>
  <c r="K37" i="18"/>
  <c r="J35" i="18"/>
  <c r="J33" i="18"/>
  <c r="J34" i="18"/>
  <c r="J36" i="18"/>
  <c r="J37" i="18"/>
  <c r="J32" i="18"/>
  <c r="J31" i="18"/>
  <c r="H10" i="18"/>
  <c r="H7" i="18"/>
  <c r="H8" i="18"/>
  <c r="H9" i="18"/>
  <c r="H6" i="18"/>
  <c r="H5" i="18"/>
  <c r="G7" i="18"/>
  <c r="G8" i="18"/>
  <c r="G9" i="18"/>
  <c r="G10" i="18"/>
  <c r="G6" i="18"/>
  <c r="G5" i="18"/>
  <c r="I6" i="16" l="1"/>
  <c r="J6" i="16"/>
  <c r="K6" i="16"/>
  <c r="L6" i="16"/>
  <c r="M6" i="16"/>
  <c r="N6" i="16"/>
  <c r="O6" i="16"/>
  <c r="H6" i="16"/>
  <c r="I5" i="16"/>
  <c r="J5" i="16"/>
  <c r="K5" i="16"/>
  <c r="L5" i="16"/>
  <c r="M5" i="16"/>
  <c r="N5" i="16"/>
  <c r="O5" i="16"/>
  <c r="H5" i="16"/>
  <c r="I4" i="16"/>
  <c r="J4" i="16"/>
  <c r="K4" i="16"/>
  <c r="L4" i="16"/>
  <c r="M4" i="16"/>
  <c r="N4" i="16"/>
  <c r="O4" i="16"/>
  <c r="H4" i="16"/>
  <c r="D12" i="15"/>
  <c r="D13" i="15"/>
  <c r="D14" i="15"/>
  <c r="D15" i="15"/>
  <c r="D16" i="15"/>
  <c r="D17" i="15"/>
  <c r="D18" i="15"/>
  <c r="D11" i="15"/>
  <c r="C16" i="15"/>
  <c r="C17" i="15"/>
  <c r="C18" i="15"/>
  <c r="C15" i="15"/>
  <c r="C14" i="15"/>
  <c r="C12" i="15"/>
  <c r="C13" i="15"/>
  <c r="C11" i="15"/>
  <c r="K21" i="13" l="1"/>
  <c r="K16" i="13"/>
  <c r="K17" i="13"/>
  <c r="K15" i="13"/>
  <c r="K12" i="13"/>
  <c r="K13" i="13"/>
  <c r="K11" i="13"/>
  <c r="K8" i="13"/>
  <c r="K9" i="13"/>
  <c r="K7" i="13"/>
  <c r="J16" i="13"/>
  <c r="J17" i="13"/>
  <c r="J15" i="13"/>
  <c r="J12" i="13"/>
  <c r="J13" i="13"/>
  <c r="J11" i="13"/>
  <c r="J9" i="13"/>
  <c r="J8" i="13"/>
  <c r="J7" i="13"/>
  <c r="H16" i="13"/>
  <c r="H17" i="13"/>
  <c r="H15" i="13"/>
  <c r="H12" i="13"/>
  <c r="H13" i="13"/>
  <c r="H11" i="13"/>
  <c r="H9" i="13"/>
  <c r="H8" i="13"/>
  <c r="H7" i="13"/>
  <c r="E28" i="14"/>
  <c r="E27" i="14"/>
  <c r="E26" i="14"/>
  <c r="H21" i="14"/>
  <c r="H20" i="14"/>
  <c r="D21" i="14"/>
  <c r="D20" i="14"/>
  <c r="F21" i="14"/>
  <c r="F20" i="14"/>
  <c r="G3" i="13" l="1"/>
  <c r="C24" i="13"/>
  <c r="E23" i="13"/>
  <c r="C23" i="13"/>
  <c r="E22" i="13"/>
  <c r="C22" i="13"/>
  <c r="E21" i="13"/>
  <c r="C21" i="13"/>
  <c r="C20" i="13"/>
  <c r="E20" i="13" l="1"/>
  <c r="M21" i="10" l="1"/>
  <c r="I42" i="10"/>
  <c r="K42" i="10"/>
  <c r="I12" i="10" a="1"/>
  <c r="I12" i="10" s="1"/>
  <c r="I13" i="10" a="1"/>
  <c r="I13" i="10"/>
  <c r="I11" i="10" a="1"/>
  <c r="I11" i="10"/>
  <c r="I9" i="10" a="1"/>
  <c r="I9" i="10" s="1"/>
  <c r="I8" i="10" a="1"/>
  <c r="I8" i="10"/>
  <c r="I7" i="10" a="1"/>
  <c r="I7" i="10" s="1"/>
  <c r="I5" i="10" a="1"/>
  <c r="I5" i="10"/>
  <c r="I4" i="10" a="1"/>
  <c r="I4" i="10" s="1"/>
  <c r="I3" i="10" a="1"/>
  <c r="I3" i="10" s="1"/>
  <c r="E35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4" i="10"/>
  <c r="E3" i="10"/>
  <c r="H62" i="9"/>
  <c r="H61" i="9"/>
  <c r="G62" i="9"/>
  <c r="G61" i="9"/>
  <c r="H60" i="9"/>
  <c r="H59" i="9"/>
  <c r="G60" i="9"/>
  <c r="G59" i="9"/>
  <c r="H55" i="9"/>
  <c r="G55" i="9"/>
  <c r="F55" i="9"/>
  <c r="E55" i="9"/>
  <c r="D55" i="9"/>
  <c r="C55" i="9"/>
  <c r="F48" i="9"/>
  <c r="F47" i="9"/>
  <c r="F46" i="9"/>
  <c r="I43" i="9"/>
  <c r="I44" i="9"/>
  <c r="I42" i="9"/>
  <c r="I41" i="9"/>
  <c r="H43" i="9"/>
  <c r="H44" i="9"/>
  <c r="H42" i="9"/>
  <c r="H41" i="9"/>
  <c r="E43" i="9"/>
  <c r="E44" i="9"/>
  <c r="E42" i="9"/>
  <c r="E41" i="9"/>
  <c r="E36" i="9"/>
  <c r="E37" i="9"/>
  <c r="E38" i="9"/>
  <c r="E35" i="9"/>
  <c r="E31" i="9"/>
  <c r="E32" i="9"/>
  <c r="E33" i="9"/>
  <c r="E30" i="9"/>
  <c r="E27" i="9"/>
  <c r="E28" i="9"/>
  <c r="E26" i="9"/>
  <c r="E25" i="9"/>
  <c r="F23" i="9"/>
  <c r="I11" i="9"/>
  <c r="F22" i="9"/>
  <c r="F21" i="9"/>
  <c r="F20" i="9"/>
  <c r="I14" i="9"/>
  <c r="I13" i="9"/>
  <c r="I12" i="9"/>
  <c r="I8" i="9"/>
  <c r="I7" i="9"/>
  <c r="I6" i="9"/>
  <c r="I4" i="9"/>
  <c r="H4" i="9"/>
  <c r="G4" i="9"/>
  <c r="H18" i="12"/>
  <c r="J18" i="12"/>
  <c r="H26" i="8"/>
  <c r="H25" i="8"/>
  <c r="H24" i="8"/>
  <c r="H23" i="8"/>
  <c r="H22" i="8"/>
  <c r="H21" i="8"/>
  <c r="G26" i="8"/>
  <c r="G25" i="8"/>
  <c r="G24" i="8"/>
  <c r="G23" i="8"/>
  <c r="G22" i="8"/>
  <c r="G21" i="8"/>
  <c r="G19" i="8"/>
  <c r="G20" i="8"/>
  <c r="I43" i="8"/>
  <c r="H43" i="8"/>
  <c r="F31" i="8"/>
  <c r="F32" i="8"/>
  <c r="F30" i="8"/>
  <c r="E32" i="8"/>
  <c r="E31" i="8"/>
  <c r="E30" i="8"/>
  <c r="H20" i="8"/>
  <c r="H19" i="8"/>
  <c r="H18" i="8"/>
  <c r="G18" i="8"/>
  <c r="F20" i="8"/>
  <c r="F21" i="8"/>
  <c r="F22" i="8"/>
  <c r="F23" i="8"/>
  <c r="F24" i="8"/>
  <c r="F25" i="8"/>
  <c r="F26" i="8"/>
  <c r="F19" i="8"/>
  <c r="F18" i="8"/>
  <c r="E20" i="8"/>
  <c r="E21" i="8"/>
  <c r="E22" i="8"/>
  <c r="E23" i="8"/>
  <c r="E24" i="8"/>
  <c r="E25" i="8"/>
  <c r="E26" i="8"/>
  <c r="E19" i="8"/>
  <c r="D18" i="8"/>
  <c r="E18" i="8"/>
  <c r="D20" i="8"/>
  <c r="D21" i="8"/>
  <c r="D22" i="8"/>
  <c r="D23" i="8"/>
  <c r="D24" i="8"/>
  <c r="D25" i="8"/>
  <c r="D26" i="8"/>
  <c r="D19" i="8"/>
  <c r="I8" i="8"/>
  <c r="I9" i="8"/>
  <c r="I10" i="8"/>
  <c r="I11" i="8"/>
  <c r="I12" i="8"/>
  <c r="I13" i="8"/>
  <c r="I7" i="8"/>
  <c r="G5" i="8"/>
  <c r="I6" i="8"/>
  <c r="I5" i="8"/>
  <c r="H7" i="8"/>
  <c r="H8" i="8"/>
  <c r="H9" i="8"/>
  <c r="H10" i="8"/>
  <c r="H11" i="8"/>
  <c r="H12" i="8"/>
  <c r="H13" i="8"/>
  <c r="H5" i="8"/>
  <c r="H6" i="8"/>
  <c r="G6" i="8"/>
  <c r="G7" i="8"/>
  <c r="G8" i="8"/>
  <c r="G9" i="8"/>
  <c r="G10" i="8"/>
  <c r="G11" i="8"/>
  <c r="G12" i="8"/>
  <c r="G13" i="8"/>
  <c r="F7" i="8"/>
  <c r="F8" i="8"/>
  <c r="F9" i="8"/>
  <c r="F10" i="8"/>
  <c r="F11" i="8"/>
  <c r="F12" i="8"/>
  <c r="F13" i="8"/>
  <c r="F6" i="8"/>
  <c r="F5" i="8"/>
  <c r="E7" i="8"/>
  <c r="E8" i="8"/>
  <c r="E9" i="8"/>
  <c r="E10" i="8"/>
  <c r="E11" i="8"/>
  <c r="E12" i="8"/>
  <c r="E13" i="8"/>
  <c r="E6" i="8"/>
  <c r="E5" i="8"/>
  <c r="D7" i="8"/>
  <c r="D8" i="8"/>
  <c r="D9" i="8"/>
  <c r="D10" i="8"/>
  <c r="D11" i="8"/>
  <c r="D12" i="8"/>
  <c r="D13" i="8"/>
  <c r="D6" i="8"/>
  <c r="D5" i="8"/>
  <c r="K24" i="7"/>
  <c r="K25" i="7"/>
  <c r="K26" i="7"/>
  <c r="K27" i="7"/>
  <c r="K23" i="7"/>
  <c r="J24" i="7"/>
  <c r="J25" i="7"/>
  <c r="J26" i="7"/>
  <c r="J27" i="7"/>
  <c r="J2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4" i="7"/>
  <c r="K12" i="7"/>
  <c r="K13" i="7"/>
  <c r="K14" i="7"/>
  <c r="K15" i="7"/>
  <c r="K16" i="7"/>
  <c r="K17" i="7"/>
  <c r="K9" i="7"/>
  <c r="K10" i="7"/>
  <c r="K11" i="7"/>
  <c r="K8" i="7"/>
  <c r="K7" i="7"/>
  <c r="K6" i="7"/>
  <c r="K5" i="7"/>
  <c r="K4" i="7"/>
  <c r="I37" i="6"/>
  <c r="I38" i="6"/>
  <c r="C24" i="6"/>
  <c r="I24" i="6"/>
  <c r="I22" i="6"/>
  <c r="I23" i="6"/>
  <c r="I21" i="6"/>
  <c r="I20" i="6"/>
  <c r="I18" i="6"/>
  <c r="I14" i="6"/>
  <c r="I15" i="6"/>
  <c r="I10" i="6"/>
  <c r="I8" i="6"/>
  <c r="I5" i="6"/>
  <c r="I6" i="6"/>
  <c r="C29" i="6"/>
  <c r="C33" i="6"/>
  <c r="C32" i="6"/>
  <c r="C31" i="6"/>
  <c r="C3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tc={3AB69CAA-AE09-4487-A013-2D20A073A2CA}</author>
    <author>tc={4A6D0816-4D41-4AB2-A9D6-1E38783FDE95}</author>
  </authors>
  <commentList>
    <comment ref="R4" authorId="0" shapeId="0" xr:uid="{3AB69CAA-AE09-4487-A013-2D20A073A2CA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checck the value</t>
      </text>
    </comment>
    <comment ref="C5" authorId="1" shapeId="0" xr:uid="{4A6D0816-4D41-4AB2-A9D6-1E38783FDE95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checck the value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<sst xmlns="http://schemas.openxmlformats.org/spreadsheetml/2006/main" count="1622" uniqueCount="507">
  <si>
    <t>1.edit in data  (F2)/double click</t>
  </si>
  <si>
    <t>data entry</t>
  </si>
  <si>
    <t>text</t>
  </si>
  <si>
    <t xml:space="preserve">number </t>
  </si>
  <si>
    <t>dates</t>
  </si>
  <si>
    <t>Autofill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</si>
  <si>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</si>
  <si>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</si>
  <si>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</si>
  <si>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</si>
  <si>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</si>
  <si>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</si>
  <si>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</si>
  <si>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</si>
  <si>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</si>
  <si>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</si>
  <si>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</si>
  <si>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</si>
  <si>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Monday</t>
  </si>
  <si>
    <t>Tuesday</t>
  </si>
  <si>
    <t>Wednesday</t>
  </si>
  <si>
    <t>Thursday</t>
  </si>
  <si>
    <t>Friday</t>
  </si>
  <si>
    <t>Saturday</t>
  </si>
  <si>
    <t>Sunday</t>
  </si>
  <si>
    <t>2. Undo = ctrl+z</t>
  </si>
  <si>
    <t>3.redo = ctrl+Y</t>
  </si>
  <si>
    <t>3. Find =ctrl+F</t>
  </si>
  <si>
    <t>4. replace = crtl+H</t>
  </si>
  <si>
    <t>Component</t>
  </si>
  <si>
    <t>Description</t>
  </si>
  <si>
    <t>Workbook</t>
  </si>
  <si>
    <t>Worksheet</t>
  </si>
  <si>
    <t>Row</t>
  </si>
  <si>
    <t>Column</t>
  </si>
  <si>
    <t>Cell</t>
  </si>
  <si>
    <t>Name</t>
  </si>
  <si>
    <t>Formula Bar</t>
  </si>
  <si>
    <t>Ribbon</t>
  </si>
  <si>
    <t>Quick Access Toolbar</t>
  </si>
  <si>
    <t>Status bar</t>
  </si>
  <si>
    <t>Collection of worksheets</t>
  </si>
  <si>
    <t>Single spreadsheet page</t>
  </si>
  <si>
    <t>Horizontal  cells</t>
  </si>
  <si>
    <t>Vertical cell</t>
  </si>
  <si>
    <t>Intersection of row and column</t>
  </si>
  <si>
    <t>Show active cell</t>
  </si>
  <si>
    <t>Display worksheet information</t>
  </si>
  <si>
    <t>Department</t>
  </si>
  <si>
    <t>city</t>
  </si>
  <si>
    <t>Rahuh</t>
  </si>
  <si>
    <t>Sanya</t>
  </si>
  <si>
    <t>aayan</t>
  </si>
  <si>
    <t>krish</t>
  </si>
  <si>
    <t>Aman</t>
  </si>
  <si>
    <t xml:space="preserve">Satyam </t>
  </si>
  <si>
    <t>HR</t>
  </si>
  <si>
    <t>Data Analytics</t>
  </si>
  <si>
    <t>Finance</t>
  </si>
  <si>
    <t>sales</t>
  </si>
  <si>
    <t>IT</t>
  </si>
  <si>
    <t>bihar</t>
  </si>
  <si>
    <t>bhopal</t>
  </si>
  <si>
    <t>Mumbai</t>
  </si>
  <si>
    <t>Indore</t>
  </si>
  <si>
    <t>Pune</t>
  </si>
  <si>
    <t>Banglore</t>
  </si>
  <si>
    <t xml:space="preserve">Product </t>
  </si>
  <si>
    <t>price</t>
  </si>
  <si>
    <t>Discount</t>
  </si>
  <si>
    <t>Final Price</t>
  </si>
  <si>
    <t>Laptop</t>
  </si>
  <si>
    <t>Mobile</t>
  </si>
  <si>
    <t>Mouse</t>
  </si>
  <si>
    <t>Keybord</t>
  </si>
  <si>
    <t>Employee Information</t>
  </si>
  <si>
    <t>ID</t>
  </si>
  <si>
    <t>Age</t>
  </si>
  <si>
    <t>Salary</t>
  </si>
  <si>
    <t>Satyam</t>
  </si>
  <si>
    <t>Rajan</t>
  </si>
  <si>
    <t>Keshav</t>
  </si>
  <si>
    <t>abhinav</t>
  </si>
  <si>
    <t>Kartikey</t>
  </si>
  <si>
    <t>aditya</t>
  </si>
  <si>
    <t>prashant</t>
  </si>
  <si>
    <t>Zaid</t>
  </si>
  <si>
    <t>shubham</t>
  </si>
  <si>
    <t>rohan</t>
  </si>
  <si>
    <t>amit</t>
  </si>
  <si>
    <t>suresh</t>
  </si>
  <si>
    <t>sachin</t>
  </si>
  <si>
    <t>Marketing</t>
  </si>
  <si>
    <t>Madhav</t>
  </si>
  <si>
    <t>Microsoft Excel - Introduction &amp; Interface</t>
  </si>
  <si>
    <t>Contains all Excel tools</t>
  </si>
  <si>
    <t>Frequently used commands</t>
  </si>
  <si>
    <t>used to enter/edit formulas</t>
  </si>
  <si>
    <t>Text Data Type</t>
  </si>
  <si>
    <t>Data Formating</t>
  </si>
  <si>
    <t xml:space="preserve">Numeric data type </t>
  </si>
  <si>
    <t>Feb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</si>
  <si>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</si>
  <si>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</si>
  <si>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</si>
  <si>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</si>
  <si>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</si>
  <si>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</si>
  <si>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</si>
  <si>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</si>
  <si>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</si>
  <si>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</si>
  <si>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</si>
  <si>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step  of data type: home -&gt;Number&gt;-Genral</t>
  </si>
  <si>
    <t>sanya</t>
  </si>
  <si>
    <t>keshav</t>
  </si>
  <si>
    <t>rajan</t>
  </si>
  <si>
    <t>satyam</t>
  </si>
  <si>
    <t>kittu</t>
  </si>
  <si>
    <t>LOW TO HIGH</t>
  </si>
  <si>
    <t>HIGH TO LOW</t>
  </si>
  <si>
    <t>Items</t>
  </si>
  <si>
    <t>Prices</t>
  </si>
  <si>
    <t>Dates</t>
  </si>
  <si>
    <t>Regions</t>
  </si>
  <si>
    <t>Beauty products</t>
  </si>
  <si>
    <t>South</t>
  </si>
  <si>
    <t>Mobile Accessories</t>
  </si>
  <si>
    <t>East</t>
  </si>
  <si>
    <t>Home décor</t>
  </si>
  <si>
    <t>Kitchen ware</t>
  </si>
  <si>
    <t>Smart watch</t>
  </si>
  <si>
    <t>West</t>
  </si>
  <si>
    <t>Baby products</t>
  </si>
  <si>
    <t>North</t>
  </si>
  <si>
    <t>Jewellery</t>
  </si>
  <si>
    <t>Perfumes</t>
  </si>
  <si>
    <t>Personal care</t>
  </si>
  <si>
    <t>Wrist Watch</t>
  </si>
  <si>
    <t>Bass Headphones</t>
  </si>
  <si>
    <t>Pet supplies</t>
  </si>
  <si>
    <t>Health &amp; wellness</t>
  </si>
  <si>
    <t>Beverages</t>
  </si>
  <si>
    <t>Books</t>
  </si>
  <si>
    <t>*$^</t>
  </si>
  <si>
    <t>Sum of all prices (using autosum function)</t>
  </si>
  <si>
    <t>Sum, Average, Min, Max, Product</t>
  </si>
  <si>
    <t>Sum of prices till C9</t>
  </si>
  <si>
    <t>Sum of all prices</t>
  </si>
  <si>
    <t>PRODUCT of prices till C9</t>
  </si>
  <si>
    <t>Subtraction</t>
  </si>
  <si>
    <t>Average</t>
  </si>
  <si>
    <t>Min</t>
  </si>
  <si>
    <t>Max</t>
  </si>
  <si>
    <t>Count</t>
  </si>
  <si>
    <t>Counta</t>
  </si>
  <si>
    <t>Countblank</t>
  </si>
  <si>
    <t>B29+B30+B31+B32+B33</t>
  </si>
  <si>
    <t>500+600+700+800+900</t>
  </si>
  <si>
    <t>FORMULA</t>
  </si>
  <si>
    <t>B29-B30</t>
  </si>
  <si>
    <t>B33/B32</t>
  </si>
  <si>
    <t>Formulabar</t>
  </si>
  <si>
    <t>average : gives the mean</t>
  </si>
  <si>
    <t>Min: the smallest value</t>
  </si>
  <si>
    <t>Max:the lagest value</t>
  </si>
  <si>
    <t>COUNT: counts the number cells</t>
  </si>
  <si>
    <t>COUNTS: COUNTS non empty cell</t>
  </si>
  <si>
    <t>S. No.</t>
  </si>
  <si>
    <t>Student Names</t>
  </si>
  <si>
    <t>Science</t>
  </si>
  <si>
    <t>Mathematics</t>
  </si>
  <si>
    <t>Social Studies</t>
  </si>
  <si>
    <t>Total Marks</t>
  </si>
  <si>
    <t>Max. Marks</t>
  </si>
  <si>
    <t>Percentage (data format)</t>
  </si>
  <si>
    <t>Percentage</t>
  </si>
  <si>
    <t>Arshad</t>
  </si>
  <si>
    <t>Amina</t>
  </si>
  <si>
    <t>Chetan</t>
  </si>
  <si>
    <t>Chanchal</t>
  </si>
  <si>
    <t>Erina</t>
  </si>
  <si>
    <t>Deepak</t>
  </si>
  <si>
    <t>Deepti</t>
  </si>
  <si>
    <t>Harshad</t>
  </si>
  <si>
    <t>Imli</t>
  </si>
  <si>
    <t>Jane</t>
  </si>
  <si>
    <t>Kajal</t>
  </si>
  <si>
    <t>Kriti</t>
  </si>
  <si>
    <t>Naman</t>
  </si>
  <si>
    <t>Multiply by</t>
  </si>
  <si>
    <t>Constant</t>
  </si>
  <si>
    <t>NAMES</t>
  </si>
  <si>
    <t>UPPER</t>
  </si>
  <si>
    <t>LOWER</t>
  </si>
  <si>
    <t>PROPER</t>
  </si>
  <si>
    <t>LEFT</t>
  </si>
  <si>
    <t>RIGHT</t>
  </si>
  <si>
    <t>MID</t>
  </si>
  <si>
    <t>Ananya Shroff</t>
  </si>
  <si>
    <t>Arohi Sharma</t>
  </si>
  <si>
    <t>Mohandas Karamchand Gandhi</t>
  </si>
  <si>
    <t>Milind Kumar Kalra</t>
  </si>
  <si>
    <t>Anshu Poonawala</t>
  </si>
  <si>
    <t>Rahul Singh Sharma</t>
  </si>
  <si>
    <t>Neil Armstrong</t>
  </si>
  <si>
    <t>Avnish Agrawal</t>
  </si>
  <si>
    <t>Shashank Khan</t>
  </si>
  <si>
    <t>LENGTH</t>
  </si>
  <si>
    <t>TRIM</t>
  </si>
  <si>
    <t>FIND</t>
  </si>
  <si>
    <t>SEARCH</t>
  </si>
  <si>
    <t>Ananya     Pandey</t>
  </si>
  <si>
    <t>Mohandas    Karamchand G    andhi</t>
  </si>
  <si>
    <t xml:space="preserve">           Milind     Kalra</t>
  </si>
  <si>
    <t xml:space="preserve">Anshu          Poonawala      </t>
  </si>
  <si>
    <t xml:space="preserve">Rahul Singh Sharma      </t>
  </si>
  <si>
    <t xml:space="preserve">  Neil   Armstrong</t>
  </si>
  <si>
    <t xml:space="preserve">     Shashank Khan</t>
  </si>
  <si>
    <t>SUBSTITUTE</t>
  </si>
  <si>
    <t>REPLACE</t>
  </si>
  <si>
    <t>Ananya Pandey</t>
  </si>
  <si>
    <t>Batty bought a bit of butter</t>
  </si>
  <si>
    <t>A</t>
  </si>
  <si>
    <t>B</t>
  </si>
  <si>
    <t>CONCATENATE</t>
  </si>
  <si>
    <t>CONCATENATE 2</t>
  </si>
  <si>
    <t>abc</t>
  </si>
  <si>
    <t>xyz</t>
  </si>
  <si>
    <t>def</t>
  </si>
  <si>
    <t>uvw</t>
  </si>
  <si>
    <t xml:space="preserve"> Arohi Sharma</t>
  </si>
  <si>
    <t>ctrl+f=find</t>
  </si>
  <si>
    <t>ctrl+h = replace</t>
  </si>
  <si>
    <t>FUNCTIONS</t>
  </si>
  <si>
    <t>Y</t>
  </si>
  <si>
    <t>Today</t>
  </si>
  <si>
    <t>M</t>
  </si>
  <si>
    <t>Current date</t>
  </si>
  <si>
    <t>Current time</t>
  </si>
  <si>
    <t>Now</t>
  </si>
  <si>
    <t>DATE</t>
  </si>
  <si>
    <t>D</t>
  </si>
  <si>
    <t>Date</t>
  </si>
  <si>
    <t>Day, Month, Year</t>
  </si>
  <si>
    <t>Day</t>
  </si>
  <si>
    <t>Add/Subtract days</t>
  </si>
  <si>
    <t>month</t>
  </si>
  <si>
    <t>Add/Subtract months</t>
  </si>
  <si>
    <t>Year</t>
  </si>
  <si>
    <t>Dates to days</t>
  </si>
  <si>
    <t>Edate</t>
  </si>
  <si>
    <t>Start date</t>
  </si>
  <si>
    <t>End date</t>
  </si>
  <si>
    <t>No. of Months</t>
  </si>
  <si>
    <t>No. of Days</t>
  </si>
  <si>
    <t>EOMonth</t>
  </si>
  <si>
    <t>Weekday</t>
  </si>
  <si>
    <t>Weeknum</t>
  </si>
  <si>
    <t>Days</t>
  </si>
  <si>
    <t>Datedif</t>
  </si>
  <si>
    <t>Calculate age</t>
  </si>
  <si>
    <t>Networkdays</t>
  </si>
  <si>
    <t>Networkdays.intl</t>
  </si>
  <si>
    <t>Months</t>
  </si>
  <si>
    <t>DATES</t>
  </si>
  <si>
    <t>DAY Names</t>
  </si>
  <si>
    <t>Edate (add/subtract)</t>
  </si>
  <si>
    <t>Dates to Days</t>
  </si>
  <si>
    <t>Last day / date of the month</t>
  </si>
  <si>
    <t>EOMONTH</t>
  </si>
  <si>
    <t>Which day of the week ?</t>
  </si>
  <si>
    <t>Which week number in that year?</t>
  </si>
  <si>
    <t>Months' Difference</t>
  </si>
  <si>
    <t>Days' Difference</t>
  </si>
  <si>
    <t>Years' Difference</t>
  </si>
  <si>
    <t>DOB</t>
  </si>
  <si>
    <t>Years</t>
  </si>
  <si>
    <t>AGE</t>
  </si>
  <si>
    <t>TODAY</t>
  </si>
  <si>
    <t>Datedifference</t>
  </si>
  <si>
    <t>HOMEWORK</t>
  </si>
  <si>
    <t>Units</t>
  </si>
  <si>
    <t>MD</t>
  </si>
  <si>
    <t>YM</t>
  </si>
  <si>
    <t>YD</t>
  </si>
  <si>
    <t>Answer</t>
  </si>
  <si>
    <t>Overall difference in years</t>
  </si>
  <si>
    <t>Overall difference in months</t>
  </si>
  <si>
    <t>Without Holidays</t>
  </si>
  <si>
    <t>With Holidays</t>
  </si>
  <si>
    <t>Overall difference in days</t>
  </si>
  <si>
    <t>Exact difference in days, ignores months and years</t>
  </si>
  <si>
    <t>Exact difference in months, ignores days and years</t>
  </si>
  <si>
    <t>Exact difference in days, ignores years</t>
  </si>
  <si>
    <t>Republic day</t>
  </si>
  <si>
    <t>&lt;-- Does not work the same for foreign countries</t>
  </si>
  <si>
    <t>Washington's birthday</t>
  </si>
  <si>
    <t>National Holidays - USA</t>
  </si>
  <si>
    <t>Independence Day</t>
  </si>
  <si>
    <t>Gandhi Jayanti</t>
  </si>
  <si>
    <t>Labor day</t>
  </si>
  <si>
    <t>Names</t>
  </si>
  <si>
    <t>Total Scores</t>
  </si>
  <si>
    <t>RESULT</t>
  </si>
  <si>
    <t>Criteria - Scores &gt;= 180, Excellent</t>
  </si>
  <si>
    <t>2 conditions</t>
  </si>
  <si>
    <t>Ifs function</t>
  </si>
  <si>
    <t>C</t>
  </si>
  <si>
    <t>SUMIF</t>
  </si>
  <si>
    <t>AVERAGEIF</t>
  </si>
  <si>
    <t>E</t>
  </si>
  <si>
    <t>3 conditions</t>
  </si>
  <si>
    <t>F</t>
  </si>
  <si>
    <t>G</t>
  </si>
  <si>
    <t>H</t>
  </si>
  <si>
    <t>I</t>
  </si>
  <si>
    <t>4 conditions</t>
  </si>
  <si>
    <t>J</t>
  </si>
  <si>
    <t>K</t>
  </si>
  <si>
    <t>L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</si>
  <si>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</si>
  <si>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</si>
  <si>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</si>
  <si>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</si>
  <si>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</si>
  <si>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</si>
  <si>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</si>
  <si>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</si>
  <si>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</si>
  <si>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</si>
  <si>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</si>
  <si>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Z</t>
  </si>
  <si>
    <t>AB</t>
  </si>
  <si>
    <t>BC</t>
  </si>
  <si>
    <t>CD</t>
  </si>
  <si>
    <t>DE</t>
  </si>
  <si>
    <t>EF</t>
  </si>
  <si>
    <t>FG</t>
  </si>
  <si>
    <t>GH</t>
  </si>
  <si>
    <t>how to convert data into table : select all -&gt; ctrl+t -. Ok</t>
  </si>
  <si>
    <t>ctrl+;</t>
  </si>
  <si>
    <t>crtl+shift+;</t>
  </si>
  <si>
    <t>Today()</t>
  </si>
  <si>
    <t>now()</t>
  </si>
  <si>
    <t>date(year,month,date)</t>
  </si>
  <si>
    <t>Adding /Substract No of days</t>
  </si>
  <si>
    <t>Adding &amp; substract month</t>
  </si>
  <si>
    <t>1. Sunday=dddd</t>
  </si>
  <si>
    <t>2.sun =ddd</t>
  </si>
  <si>
    <t>01=dd</t>
  </si>
  <si>
    <t>Add/subtractMonths</t>
  </si>
  <si>
    <t>number formating-- more option---custom--dddd</t>
  </si>
  <si>
    <t>12=mm</t>
  </si>
  <si>
    <t>Networkdays.intl  (international country)</t>
  </si>
  <si>
    <t xml:space="preserve"> </t>
  </si>
  <si>
    <t>Total</t>
  </si>
  <si>
    <t>CRITERIA - score &gt;=50 in Science, Math and / or Social Studies</t>
  </si>
  <si>
    <t>STUDENT NAMES</t>
  </si>
  <si>
    <t>Logical functions with IF</t>
  </si>
  <si>
    <t>OR</t>
  </si>
  <si>
    <t>AND</t>
  </si>
  <si>
    <t>XOR</t>
  </si>
  <si>
    <t>LOGICAL TESTS</t>
  </si>
  <si>
    <t>ISBLANK</t>
  </si>
  <si>
    <t>IFERROR</t>
  </si>
  <si>
    <t>ISERROR</t>
  </si>
  <si>
    <t>IFNA</t>
  </si>
  <si>
    <t>IFERROR (for a blank cell)</t>
  </si>
  <si>
    <t>Criteria for BONUS</t>
  </si>
  <si>
    <t>Skincare Products</t>
  </si>
  <si>
    <t>Real-world use case of XOR Function</t>
  </si>
  <si>
    <t>Bonus for an employee to be decided on the basis of EITHER the Beverages OR the Skincare Products he/she has sold and the sale has been &gt; 1000 ; but NOT BOTH.</t>
  </si>
  <si>
    <t>Criteria - Sale &gt;1000</t>
  </si>
  <si>
    <t>CRITERIA  SCORE &gt;70</t>
  </si>
  <si>
    <t>Excel</t>
  </si>
  <si>
    <t>Power BI</t>
  </si>
  <si>
    <t>Tableau</t>
  </si>
  <si>
    <t>CRITERIA</t>
  </si>
  <si>
    <t>Scores &gt; 70</t>
  </si>
  <si>
    <t>OR function</t>
  </si>
  <si>
    <t>Student A</t>
  </si>
  <si>
    <t>AND function</t>
  </si>
  <si>
    <t>Student C</t>
  </si>
  <si>
    <t>Student B</t>
  </si>
  <si>
    <t>Student D</t>
  </si>
  <si>
    <t>Condition 1</t>
  </si>
  <si>
    <t>Condition 2</t>
  </si>
  <si>
    <t>Condition 3</t>
  </si>
  <si>
    <t>OR - Either this or that</t>
  </si>
  <si>
    <t>AND - Both this and that</t>
  </si>
  <si>
    <t>XOR - TRUE FALSE depends on the no. of arguments</t>
  </si>
  <si>
    <t>If even number of conditions are meeting the set criteria, the answer will be FALSE !</t>
  </si>
  <si>
    <t>If odd number of conditions are meeting the set criteria, the answer will be TRUE !</t>
  </si>
  <si>
    <t>NOT</t>
  </si>
  <si>
    <t>The exact opposite</t>
  </si>
  <si>
    <t>Region</t>
  </si>
  <si>
    <t>Footwear</t>
  </si>
  <si>
    <t>Smartwatch</t>
  </si>
  <si>
    <t>Beard trimmer</t>
  </si>
  <si>
    <t>Deodarant</t>
  </si>
  <si>
    <t>Shaving cream</t>
  </si>
  <si>
    <t>Wrist watch</t>
  </si>
  <si>
    <t>Price</t>
  </si>
  <si>
    <t>Lookup values</t>
  </si>
  <si>
    <t>Earbuds</t>
  </si>
  <si>
    <t>Jackets</t>
  </si>
  <si>
    <t>Deadarant</t>
  </si>
  <si>
    <t>jo column chahiye rahta use hum pahle column range me lete hai.region  vi humne chahiye to humne region ko item ke niche lana hoga</t>
  </si>
  <si>
    <t>Bottom to top</t>
  </si>
  <si>
    <t>Vertically arranged data</t>
  </si>
  <si>
    <t>Right to Left</t>
  </si>
  <si>
    <t>Horizontally arranged data</t>
  </si>
  <si>
    <t>Perfume</t>
  </si>
  <si>
    <t>Hair spray</t>
  </si>
  <si>
    <t>Men's Deodarant</t>
  </si>
  <si>
    <t>Women's Deodarant</t>
  </si>
  <si>
    <t>Shaving brush</t>
  </si>
  <si>
    <t>Wildcard</t>
  </si>
  <si>
    <t>Men's deodarant</t>
  </si>
  <si>
    <t>Women's deodarant</t>
  </si>
  <si>
    <t>Shaving</t>
  </si>
  <si>
    <t>Year wise prices</t>
  </si>
  <si>
    <t>Deodarant for men</t>
  </si>
  <si>
    <t>Deodarant for women</t>
  </si>
  <si>
    <t>Lookup Value - 1</t>
  </si>
  <si>
    <t>Lookup Value - 2</t>
  </si>
  <si>
    <t>2-D data</t>
  </si>
  <si>
    <t>Price, using only the Array</t>
  </si>
  <si>
    <t xml:space="preserve"> lookup : used when data is sorted in ascending order.</t>
  </si>
  <si>
    <t>Price (with lookup and result vectors)</t>
  </si>
  <si>
    <t>Price (using only the arrays)</t>
  </si>
  <si>
    <t>Region (with lookup and result vectors)</t>
  </si>
  <si>
    <t>Date (using only the arrays)</t>
  </si>
  <si>
    <t>Bass headphones</t>
  </si>
  <si>
    <t>Homework</t>
  </si>
  <si>
    <t>Region (using only the array</t>
  </si>
  <si>
    <t>Wildcard data present in sequence</t>
  </si>
  <si>
    <t>Positions from Match function</t>
  </si>
  <si>
    <t>Column numbers</t>
  </si>
  <si>
    <t>Row numbers</t>
  </si>
  <si>
    <t>Values from Index function - 1D</t>
  </si>
  <si>
    <t>Values from Index function - 2D</t>
  </si>
  <si>
    <t>Index + Match Functions</t>
  </si>
  <si>
    <t>DATA VALIDATION G2:J6</t>
  </si>
  <si>
    <t>South-west</t>
  </si>
  <si>
    <t>NE</t>
  </si>
  <si>
    <t>DATA VALIDATION - using paste special</t>
  </si>
  <si>
    <t>Cost Price</t>
  </si>
  <si>
    <t>Cost Price2</t>
  </si>
  <si>
    <t>July</t>
  </si>
  <si>
    <t>Magazines</t>
  </si>
  <si>
    <t>January</t>
  </si>
  <si>
    <t>Pencils</t>
  </si>
  <si>
    <t>February</t>
  </si>
  <si>
    <t>Pens</t>
  </si>
  <si>
    <t>March</t>
  </si>
  <si>
    <t>Colors</t>
  </si>
  <si>
    <t>April</t>
  </si>
  <si>
    <t>Highlighters</t>
  </si>
  <si>
    <t>Scales/Rulers</t>
  </si>
  <si>
    <t>June</t>
  </si>
  <si>
    <t>Novels</t>
  </si>
  <si>
    <t>Laptop Production</t>
  </si>
  <si>
    <t>Parts</t>
  </si>
  <si>
    <t>Costing</t>
  </si>
  <si>
    <t>Motherboards</t>
  </si>
  <si>
    <t>RAM Modules</t>
  </si>
  <si>
    <t>Speakers</t>
  </si>
  <si>
    <t>Cooling fans</t>
  </si>
  <si>
    <t>Batteries and Adapters</t>
  </si>
  <si>
    <t>CPU</t>
  </si>
  <si>
    <t>Toouchpad</t>
  </si>
  <si>
    <t>Display screen</t>
  </si>
  <si>
    <t>Storage (HDD)</t>
  </si>
  <si>
    <t>Keyboard</t>
  </si>
  <si>
    <t>Laptop Price</t>
  </si>
  <si>
    <t>Item</t>
  </si>
  <si>
    <t>Samsung Galaxy S25 Ultra</t>
  </si>
  <si>
    <t>Down Payment</t>
  </si>
  <si>
    <t>Tenure</t>
  </si>
  <si>
    <t>EMI</t>
  </si>
  <si>
    <t>YES !</t>
  </si>
  <si>
    <t>$C$7</t>
  </si>
  <si>
    <t>$C$8</t>
  </si>
  <si>
    <t>$C$10</t>
  </si>
  <si>
    <t>$C$11</t>
  </si>
  <si>
    <t>$C$12</t>
  </si>
  <si>
    <t>$C$13</t>
  </si>
  <si>
    <t>$C$14</t>
  </si>
  <si>
    <t>Lower_Prices</t>
  </si>
  <si>
    <t>Created by HP on 09-09-2026</t>
  </si>
  <si>
    <t>Higher_Prices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</si>
  <si>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</si>
  <si>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</si>
  <si>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</si>
  <si>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</si>
  <si>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</si>
  <si>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</si>
  <si>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</si>
  <si>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RAM</t>
  </si>
  <si>
    <t>Remaining loan amount</t>
  </si>
  <si>
    <t>Total Costing</t>
  </si>
  <si>
    <t>Sales</t>
  </si>
  <si>
    <t>Unit Price</t>
  </si>
  <si>
    <t>Total Sales</t>
  </si>
  <si>
    <t>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</si>
</sst>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₹&quot;\ #,##0.00"/>
    <numFmt numFmtId="165" formatCode="&quot;₹&quot;\ #,##0"/>
    <numFmt numFmtId="166" formatCode="[$-F800]dddd\,\ mmmm\ dd\,\ yyyy"/>
    <numFmt numFmtId="167" formatCode="dddd"/>
  </numFmts>
  <fonts count="1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18"/>
      <color rgb="FF7030A0"/>
      <name val="Calibri"/>
      <family val="2"/>
      <scheme val="minor"/>
    </font>
    <font>
      <sz val="14"/>
      <color theme="1"/>
      <name val="Bookman Old Style"/>
      <family val="1"/>
    </font>
    <font>
      <b/>
      <sz val="16"/>
      <color theme="1"/>
      <name val="Calibri"/>
      <family val="2"/>
      <scheme val="minor"/>
    </font>
    <font>
      <b/>
      <u/>
      <sz val="14"/>
      <color theme="1"/>
      <name val="Bookman Old Style"/>
      <family val="1"/>
    </font>
    <font>
      <sz val="12"/>
      <color theme="1"/>
      <name val="Bookman Old Style"/>
      <family val="1"/>
    </font>
    <font>
      <b/>
      <u/>
      <sz val="12"/>
      <color theme="1"/>
      <name val="Bookman Old Style"/>
      <family val="1"/>
    </font>
    <font>
      <sz val="13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2"/>
      <color rgb="FFFF0000"/>
      <name val="Bookman Old Style"/>
      <family val="1"/>
    </font>
    <font>
      <b/>
      <sz val="13"/>
      <color rgb="FFFF0000"/>
      <name val="Bookman Old Style"/>
      <family val="1"/>
    </font>
    <font>
      <b/>
      <i/>
      <u/>
      <sz val="12"/>
      <color theme="1"/>
      <name val="Bookman Old Style"/>
      <family val="1"/>
    </font>
    <font>
      <b/>
      <i/>
      <u/>
      <sz val="13"/>
      <color theme="1"/>
      <name val="Bookman Old Style"/>
      <family val="1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u/>
      <sz val="12"/>
      <color theme="1"/>
      <name val="Book Antiqua"/>
      <family val="1"/>
    </font>
    <font>
      <sz val="12"/>
      <color theme="1"/>
      <name val="Book Antiqua"/>
      <family val="1"/>
    </font>
    <font>
      <sz val="14"/>
      <color theme="1"/>
      <name val="Cambria"/>
      <family val="1"/>
    </font>
    <font>
      <b/>
      <i/>
      <sz val="14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Book Antiqua"/>
      <family val="1"/>
    </font>
    <font>
      <b/>
      <sz val="12"/>
      <color theme="1"/>
      <name val="Amasis MT Pro"/>
      <family val="1"/>
    </font>
    <font>
      <sz val="11"/>
      <color theme="1"/>
      <name val="Aptos Narrow"/>
      <family val="2"/>
    </font>
    <font>
      <sz val="12"/>
      <color theme="1"/>
      <name val="Amasis MT Pro"/>
      <family val="1"/>
    </font>
    <font>
      <b/>
      <i/>
      <u/>
      <sz val="12"/>
      <color theme="1"/>
      <name val="Amasis MT Pro"/>
      <family val="1"/>
    </font>
    <font>
      <b/>
      <u/>
      <sz val="12"/>
      <color theme="1"/>
      <name val="Amasis MT Pro"/>
      <family val="1"/>
    </font>
    <font>
      <b/>
      <u/>
      <sz val="16"/>
      <color rgb="FFFF0000"/>
      <name val="Amasis MT Pro"/>
      <family val="1"/>
    </font>
    <font>
      <b/>
      <u/>
      <sz val="12"/>
      <color rgb="FFFFFFFF"/>
      <name val="Amasis MT Pro"/>
      <family val="1"/>
    </font>
    <font>
      <b/>
      <i/>
      <u/>
      <sz val="14"/>
      <color rgb="FFFF0000"/>
      <name val="Amasis MT Pro"/>
      <family val="1"/>
    </font>
    <font>
      <b/>
      <sz val="36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4"/>
      <color theme="1"/>
      <name val="Aptos Narrow"/>
      <family val="2"/>
    </font>
    <font>
      <b/>
      <sz val="12"/>
      <color theme="1"/>
      <name val="Aptos Narrow"/>
      <family val="2"/>
    </font>
    <font>
      <b/>
      <sz val="16"/>
      <color theme="1"/>
      <name val="Aptos Narrow"/>
      <family val="2"/>
    </font>
    <font>
      <b/>
      <sz val="16"/>
      <color theme="1"/>
      <name val="Amasis MT Pro"/>
      <family val="1"/>
    </font>
    <font>
      <b/>
      <sz val="18"/>
      <color theme="1"/>
      <name val="Amasis MT Pro"/>
      <family val="1"/>
    </font>
    <font>
      <b/>
      <u/>
      <sz val="20"/>
      <color theme="1"/>
      <name val="Amasis MT Pro"/>
      <family val="1"/>
    </font>
    <font>
      <b/>
      <u/>
      <sz val="18"/>
      <color theme="1"/>
      <name val="Amasis MT Pro"/>
      <family val="1"/>
    </font>
    <font>
      <b/>
      <sz val="20"/>
      <color theme="1"/>
      <name val="Amasis MT Pro"/>
      <family val="1"/>
    </font>
    <font>
      <sz val="20"/>
      <color theme="1"/>
      <name val="Amasis MT Pro"/>
      <family val="1"/>
    </font>
    <font>
      <sz val="14"/>
      <color theme="1"/>
      <name val="Aptos Narrow"/>
      <family val="2"/>
    </font>
    <font>
      <sz val="20"/>
      <color theme="1"/>
      <name val="Aptos Narrow"/>
      <family val="2"/>
    </font>
    <font>
      <sz val="16"/>
      <name val="Bookman Old Style"/>
      <family val="1"/>
    </font>
    <font>
      <b/>
      <sz val="16"/>
      <name val="Bookman Old Style"/>
      <family val="1"/>
    </font>
    <font>
      <sz val="16"/>
      <color theme="1"/>
      <name val="Bookman Old Style"/>
      <family val="1"/>
    </font>
    <font>
      <b/>
      <u/>
      <sz val="16"/>
      <color theme="1"/>
      <name val="Book Antiqua"/>
      <family val="1"/>
    </font>
    <font>
      <b/>
      <sz val="16"/>
      <color theme="1"/>
      <name val="Book Antiqua"/>
      <family val="1"/>
    </font>
    <font>
      <sz val="16"/>
      <color theme="1"/>
      <name val="Book Antiqua"/>
      <family val="1"/>
    </font>
    <font>
      <i/>
      <sz val="18"/>
      <color theme="1"/>
      <name val="Book Antiqua"/>
      <family val="1"/>
    </font>
    <font>
      <b/>
      <sz val="16"/>
      <color theme="0"/>
      <name val="Book Antiqua"/>
      <family val="1"/>
    </font>
    <font>
      <b/>
      <i/>
      <u/>
      <sz val="20"/>
      <color theme="0"/>
      <name val="Book Antiqua"/>
      <family val="1"/>
    </font>
    <font>
      <b/>
      <i/>
      <sz val="24"/>
      <color theme="0"/>
      <name val="Book Antiqua"/>
      <family val="1"/>
    </font>
    <font>
      <b/>
      <i/>
      <sz val="22"/>
      <color theme="0"/>
      <name val="Book Antiqua"/>
      <family val="1"/>
    </font>
    <font>
      <b/>
      <i/>
      <sz val="26"/>
      <color theme="0"/>
      <name val="Book Antiqua"/>
      <family val="1"/>
    </font>
    <font>
      <b/>
      <sz val="20"/>
      <color theme="0"/>
      <name val="Book Antiqua"/>
      <family val="1"/>
    </font>
    <font>
      <b/>
      <u/>
      <sz val="18"/>
      <name val="Book Antiqua"/>
      <family val="1"/>
    </font>
    <font>
      <b/>
      <i/>
      <sz val="18"/>
      <color theme="0"/>
      <name val="Book Antiqua"/>
      <family val="1"/>
    </font>
    <font>
      <b/>
      <sz val="22"/>
      <name val="Book Antiqua"/>
      <family val="1"/>
    </font>
    <font>
      <b/>
      <sz val="20"/>
      <color theme="1"/>
      <name val="Calibri"/>
      <family val="2"/>
      <scheme val="minor"/>
    </font>
    <font>
      <b/>
      <i/>
      <sz val="13"/>
      <color theme="1"/>
      <name val="Book Antiqua"/>
      <family val="1"/>
    </font>
    <font>
      <b/>
      <u/>
      <sz val="15"/>
      <color theme="0"/>
      <name val="Bookman Old Style"/>
      <family val="1"/>
    </font>
    <font>
      <b/>
      <sz val="14"/>
      <color theme="1"/>
      <name val="Amasis MT Pro"/>
      <family val="1"/>
    </font>
    <font>
      <b/>
      <sz val="14"/>
      <color theme="1"/>
      <name val="Baskerville Old Face"/>
      <family val="1"/>
    </font>
    <font>
      <b/>
      <sz val="13"/>
      <color theme="1"/>
      <name val="Amasis MT Pro"/>
      <family val="1"/>
    </font>
    <font>
      <b/>
      <i/>
      <u/>
      <sz val="13"/>
      <color theme="1"/>
      <name val="Amasis MT Pro"/>
      <family val="1"/>
    </font>
    <font>
      <b/>
      <i/>
      <u/>
      <sz val="14"/>
      <color theme="1"/>
      <name val="Amasis MT Pro"/>
      <family val="1"/>
    </font>
    <font>
      <b/>
      <i/>
      <sz val="14"/>
      <color theme="1"/>
      <name val="Amasis MT Pro"/>
      <family val="1"/>
    </font>
    <font>
      <sz val="13"/>
      <color theme="1"/>
      <name val="Amasis MT Pro"/>
      <family val="1"/>
    </font>
    <font>
      <i/>
      <sz val="14"/>
      <color theme="1"/>
      <name val="Amasis MT Pro"/>
      <family val="1"/>
    </font>
    <font>
      <b/>
      <i/>
      <sz val="14"/>
      <color rgb="FFC00000"/>
      <name val="Amasis MT Pro"/>
      <family val="1"/>
    </font>
    <font>
      <b/>
      <sz val="13"/>
      <color rgb="FFC00000"/>
      <name val="Amasis MT Pro"/>
      <family val="1"/>
    </font>
    <font>
      <b/>
      <u/>
      <sz val="12"/>
      <color theme="0"/>
      <name val="Comic Sans MS"/>
      <family val="4"/>
    </font>
    <font>
      <sz val="12"/>
      <color theme="1"/>
      <name val="Comic Sans MS"/>
      <family val="4"/>
    </font>
    <font>
      <b/>
      <sz val="12"/>
      <color theme="1"/>
      <name val="Comic Sans MS"/>
      <family val="4"/>
    </font>
    <font>
      <b/>
      <u/>
      <sz val="14"/>
      <color theme="0"/>
      <name val="Amasis MT Pro"/>
      <family val="1"/>
    </font>
    <font>
      <sz val="14"/>
      <color rgb="FF0C0C0C"/>
      <name val="Amasis MT Pro"/>
      <family val="1"/>
    </font>
    <font>
      <sz val="14"/>
      <color theme="1"/>
      <name val="Amasis MT Pro"/>
      <family val="1"/>
    </font>
    <font>
      <b/>
      <sz val="14"/>
      <color theme="0"/>
      <name val="Amasis MT Pro"/>
      <family val="1"/>
    </font>
    <font>
      <b/>
      <sz val="14"/>
      <color rgb="FF0C0C0C"/>
      <name val="Amasis MT Pro"/>
      <family val="1"/>
    </font>
    <font>
      <sz val="14"/>
      <color theme="1"/>
      <name val="Book Antiqua"/>
      <family val="1"/>
    </font>
    <font>
      <b/>
      <sz val="28"/>
      <color theme="1"/>
      <name val="Book Antiqua"/>
      <family val="1"/>
    </font>
    <font>
      <b/>
      <u/>
      <sz val="16"/>
      <color theme="0"/>
      <name val="Book Antiqua"/>
      <family val="1"/>
    </font>
    <font>
      <sz val="14"/>
      <color rgb="FF0C0C0C"/>
      <name val="Book Antiqua"/>
      <family val="1"/>
    </font>
    <font>
      <b/>
      <u/>
      <sz val="14"/>
      <color theme="1"/>
      <name val="Book Antiqua"/>
      <family val="1"/>
    </font>
    <font>
      <u/>
      <sz val="14"/>
      <color theme="1"/>
      <name val="Book Antiqua"/>
      <family val="1"/>
    </font>
    <font>
      <b/>
      <i/>
      <u/>
      <sz val="16"/>
      <color theme="1"/>
      <name val="Book Antiqua"/>
      <family val="1"/>
    </font>
    <font>
      <b/>
      <u/>
      <sz val="20"/>
      <color theme="1"/>
      <name val="Book Antiqua"/>
      <family val="1"/>
    </font>
    <font>
      <b/>
      <sz val="14"/>
      <color theme="0"/>
      <name val="Book Antiqua"/>
      <family val="1"/>
    </font>
    <font>
      <b/>
      <sz val="14"/>
      <color theme="1"/>
      <name val="Book Antiqua"/>
      <family val="1"/>
    </font>
    <font>
      <b/>
      <sz val="14"/>
      <color rgb="FF0C0C0C"/>
      <name val="Book Antiqua"/>
      <family val="1"/>
    </font>
    <font>
      <b/>
      <u/>
      <sz val="24"/>
      <color theme="1"/>
      <name val="Book Antiqua"/>
      <family val="1"/>
    </font>
    <font>
      <b/>
      <sz val="15"/>
      <color theme="1"/>
      <name val="Book Antiqua"/>
      <family val="1"/>
    </font>
    <font>
      <sz val="15"/>
      <color theme="1"/>
      <name val="Book Antiqua"/>
      <family val="1"/>
    </font>
    <font>
      <u/>
      <sz val="16"/>
      <name val="Book Antiqua"/>
      <family val="1"/>
    </font>
    <font>
      <b/>
      <u/>
      <sz val="16"/>
      <color rgb="FF0C0C0C"/>
      <name val="Book Antiqua"/>
      <family val="1"/>
    </font>
    <font>
      <b/>
      <u/>
      <sz val="26"/>
      <color theme="1"/>
      <name val="Book Antiqua"/>
      <family val="1"/>
    </font>
    <font>
      <b/>
      <u/>
      <sz val="2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3"/>
      <color theme="1"/>
      <name val="Amasis MT Pro Medium"/>
      <family val="1"/>
    </font>
    <font>
      <sz val="11"/>
      <color theme="1"/>
      <name val="Amasis MT Pro Medium"/>
      <family val="1"/>
    </font>
    <font>
      <b/>
      <sz val="13"/>
      <color theme="1"/>
      <name val="Amasis MT Pro Medium"/>
      <family val="1"/>
    </font>
    <font>
      <sz val="13"/>
      <color theme="1"/>
      <name val="Amasis MT Pro Medium"/>
      <family val="1"/>
    </font>
    <font>
      <b/>
      <sz val="16"/>
      <color theme="1"/>
      <name val="Amasis MT Pro Medium"/>
      <family val="1"/>
    </font>
    <font>
      <sz val="14"/>
      <color theme="1"/>
      <name val="Arial Narrow"/>
      <family val="2"/>
    </font>
    <font>
      <b/>
      <sz val="14"/>
      <color rgb="FFC00000"/>
      <name val="Arial Narrow"/>
      <family val="2"/>
    </font>
    <font>
      <b/>
      <sz val="14"/>
      <color theme="1"/>
      <name val="Arial Narrow"/>
      <family val="2"/>
    </font>
    <font>
      <b/>
      <i/>
      <u/>
      <sz val="16"/>
      <color theme="1"/>
      <name val="Amasis MT Pro Medium"/>
      <family val="1"/>
    </font>
    <font>
      <b/>
      <i/>
      <sz val="16"/>
      <color theme="1"/>
      <name val="Amasis MT Pro Medium"/>
      <family val="1"/>
    </font>
    <font>
      <b/>
      <u/>
      <sz val="13"/>
      <color theme="1"/>
      <name val="Bookman Old Style"/>
      <family val="1"/>
    </font>
    <font>
      <b/>
      <sz val="13"/>
      <color theme="1"/>
      <name val="Bookman Old Style"/>
      <family val="1"/>
    </font>
    <font>
      <b/>
      <sz val="13"/>
      <name val="Amasis MT Pro"/>
      <family val="1"/>
    </font>
    <font>
      <sz val="13"/>
      <color rgb="FF0C0C0C"/>
      <name val="Amasis MT Pro"/>
      <family val="1"/>
    </font>
    <font>
      <sz val="11"/>
      <color theme="1"/>
      <name val="Bookman Old Style"/>
      <family val="1"/>
    </font>
    <font>
      <sz val="14"/>
      <color theme="1"/>
      <name val="Comic Sans MS"/>
      <family val="4"/>
    </font>
    <font>
      <sz val="12"/>
      <color theme="1"/>
      <name val="Arial"/>
      <family val="2"/>
    </font>
    <font>
      <b/>
      <sz val="14"/>
      <color theme="1"/>
      <name val="Bookman Old Style"/>
      <family val="1"/>
    </font>
    <font>
      <b/>
      <sz val="13"/>
      <color theme="1"/>
      <name val="Arial"/>
      <family val="2"/>
    </font>
    <font>
      <b/>
      <sz val="18"/>
      <color rgb="FFFF0000"/>
      <name val="Bookman Old Style"/>
      <family val="1"/>
    </font>
    <font>
      <b/>
      <u/>
      <sz val="14"/>
      <color theme="1"/>
      <name val="Comic Sans MS"/>
      <family val="4"/>
    </font>
    <font>
      <b/>
      <sz val="13"/>
      <color theme="1"/>
      <name val="Comic Sans MS"/>
      <family val="4"/>
    </font>
    <font>
      <b/>
      <sz val="14"/>
      <color theme="1"/>
      <name val="Comic Sans MS"/>
      <family val="4"/>
    </font>
    <font>
      <sz val="11"/>
      <name val="Calibri"/>
      <family val="2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95DCF7"/>
        <bgColor indexed="64"/>
      </patternFill>
    </fill>
    <fill>
      <patternFill patternType="solid">
        <fgColor rgb="FFF1C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33F4F"/>
        <bgColor rgb="FF333F4F"/>
      </patternFill>
    </fill>
    <fill>
      <patternFill patternType="solid">
        <fgColor rgb="FFFBE4D5"/>
        <bgColor rgb="FFFBE4D5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2F5496"/>
        <bgColor rgb="FF2F549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theme="0"/>
      </patternFill>
    </fill>
    <fill>
      <patternFill patternType="solid">
        <fgColor theme="2" tint="-9.9978637043366805E-2"/>
        <bgColor rgb="FFFBE4D5"/>
      </patternFill>
    </fill>
    <fill>
      <patternFill patternType="solid">
        <fgColor theme="3" tint="0.749992370372631"/>
        <bgColor rgb="FFB4C6E7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rgb="FFFFFF00"/>
      </patternFill>
    </fill>
    <fill>
      <patternFill patternType="solid">
        <fgColor theme="6" tint="0.59999389629810485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theme="7" tint="0.59999389629810485"/>
        <bgColor rgb="FFFFE598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indexed="64"/>
      </right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 style="thin">
        <color theme="3" tint="0.499984740745262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624">
    <xf numFmtId="0" fontId="0" fillId="0" borderId="0" xfId="0"/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10" borderId="0" xfId="0" applyFill="1"/>
    <xf numFmtId="0" fontId="0" fillId="11" borderId="0" xfId="0" applyFill="1"/>
    <xf numFmtId="0" fontId="1" fillId="6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0" fillId="9" borderId="0" xfId="0" applyFill="1"/>
    <xf numFmtId="9" fontId="0" fillId="11" borderId="0" xfId="0" applyNumberFormat="1" applyFill="1"/>
    <xf numFmtId="0" fontId="0" fillId="2" borderId="0" xfId="0" applyFill="1"/>
    <xf numFmtId="0" fontId="6" fillId="12" borderId="0" xfId="0" applyFont="1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0" fillId="13" borderId="1" xfId="0" applyFill="1" applyBorder="1"/>
    <xf numFmtId="0" fontId="0" fillId="6" borderId="1" xfId="0" applyFill="1" applyBorder="1"/>
    <xf numFmtId="0" fontId="6" fillId="14" borderId="1" xfId="0" applyFont="1" applyFill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2" fontId="1" fillId="5" borderId="2" xfId="0" applyNumberFormat="1" applyFont="1" applyFill="1" applyBorder="1"/>
    <xf numFmtId="49" fontId="1" fillId="19" borderId="2" xfId="0" applyNumberFormat="1" applyFont="1" applyFill="1" applyBorder="1"/>
    <xf numFmtId="14" fontId="1" fillId="20" borderId="2" xfId="0" applyNumberFormat="1" applyFont="1" applyFill="1" applyBorder="1"/>
    <xf numFmtId="164" fontId="1" fillId="21" borderId="2" xfId="0" applyNumberFormat="1" applyFont="1" applyFill="1" applyBorder="1"/>
    <xf numFmtId="165" fontId="1" fillId="22" borderId="2" xfId="0" applyNumberFormat="1" applyFont="1" applyFill="1" applyBorder="1"/>
    <xf numFmtId="166" fontId="1" fillId="20" borderId="2" xfId="0" applyNumberFormat="1" applyFont="1" applyFill="1" applyBorder="1"/>
    <xf numFmtId="0" fontId="0" fillId="0" borderId="2" xfId="0" applyBorder="1"/>
    <xf numFmtId="9" fontId="0" fillId="0" borderId="2" xfId="1" applyFont="1" applyBorder="1"/>
    <xf numFmtId="9" fontId="0" fillId="0" borderId="2" xfId="1" applyFont="1" applyBorder="1" applyAlignment="1">
      <alignment wrapText="1"/>
    </xf>
    <xf numFmtId="49" fontId="1" fillId="0" borderId="0" xfId="0" applyNumberFormat="1" applyFont="1"/>
    <xf numFmtId="0" fontId="0" fillId="0" borderId="2" xfId="0" applyBorder="1" applyAlignment="1">
      <alignment horizontal="left" vertical="center"/>
    </xf>
    <xf numFmtId="0" fontId="17" fillId="24" borderId="1" xfId="2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6" borderId="1" xfId="2" applyFont="1" applyFill="1" applyBorder="1" applyAlignment="1">
      <alignment horizontal="center" vertical="center" wrapText="1"/>
    </xf>
    <xf numFmtId="165" fontId="21" fillId="6" borderId="1" xfId="0" applyNumberFormat="1" applyFont="1" applyFill="1" applyBorder="1" applyAlignment="1">
      <alignment horizontal="center" vertical="center"/>
    </xf>
    <xf numFmtId="165" fontId="21" fillId="6" borderId="0" xfId="0" applyNumberFormat="1" applyFont="1" applyFill="1" applyAlignment="1">
      <alignment horizontal="center" vertical="center"/>
    </xf>
    <xf numFmtId="165" fontId="21" fillId="24" borderId="1" xfId="0" applyNumberFormat="1" applyFont="1" applyFill="1" applyBorder="1" applyAlignment="1">
      <alignment horizontal="center" vertical="center"/>
    </xf>
    <xf numFmtId="0" fontId="21" fillId="24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0" fontId="18" fillId="24" borderId="0" xfId="0" applyFont="1" applyFill="1" applyAlignment="1">
      <alignment horizontal="center" vertical="center"/>
    </xf>
    <xf numFmtId="0" fontId="20" fillId="24" borderId="1" xfId="2" applyFont="1" applyFill="1" applyBorder="1" applyAlignment="1">
      <alignment horizontal="center" vertical="center" wrapText="1"/>
    </xf>
    <xf numFmtId="0" fontId="20" fillId="24" borderId="5" xfId="2" applyFont="1" applyFill="1" applyBorder="1" applyAlignment="1">
      <alignment horizontal="center" vertical="center" wrapText="1"/>
    </xf>
    <xf numFmtId="0" fontId="20" fillId="24" borderId="7" xfId="2" applyFont="1" applyFill="1" applyBorder="1" applyAlignment="1">
      <alignment horizontal="center" vertical="center" wrapText="1"/>
    </xf>
    <xf numFmtId="0" fontId="20" fillId="24" borderId="8" xfId="2" applyFont="1" applyFill="1" applyBorder="1" applyAlignment="1">
      <alignment horizontal="center" vertical="center" wrapText="1"/>
    </xf>
    <xf numFmtId="0" fontId="20" fillId="24" borderId="10" xfId="2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166" fontId="17" fillId="24" borderId="1" xfId="2" applyNumberFormat="1" applyFont="1" applyFill="1" applyBorder="1" applyAlignment="1">
      <alignment horizontal="center" vertical="center" wrapText="1"/>
    </xf>
    <xf numFmtId="166" fontId="20" fillId="24" borderId="1" xfId="2" applyNumberFormat="1" applyFont="1" applyFill="1" applyBorder="1" applyAlignment="1">
      <alignment horizontal="center" vertical="center" wrapText="1"/>
    </xf>
    <xf numFmtId="166" fontId="20" fillId="24" borderId="4" xfId="2" applyNumberFormat="1" applyFont="1" applyFill="1" applyBorder="1" applyAlignment="1">
      <alignment horizontal="center" vertical="center" wrapText="1"/>
    </xf>
    <xf numFmtId="166" fontId="20" fillId="24" borderId="5" xfId="2" applyNumberFormat="1" applyFont="1" applyFill="1" applyBorder="1" applyAlignment="1">
      <alignment horizontal="center" vertical="center" wrapText="1"/>
    </xf>
    <xf numFmtId="166" fontId="20" fillId="24" borderId="9" xfId="2" applyNumberFormat="1" applyFont="1" applyFill="1" applyBorder="1" applyAlignment="1">
      <alignment horizontal="center" vertical="center" wrapText="1"/>
    </xf>
    <xf numFmtId="166" fontId="20" fillId="24" borderId="10" xfId="2" applyNumberFormat="1" applyFont="1" applyFill="1" applyBorder="1" applyAlignment="1">
      <alignment horizontal="center" vertical="center" wrapText="1"/>
    </xf>
    <xf numFmtId="164" fontId="20" fillId="24" borderId="5" xfId="2" applyNumberFormat="1" applyFont="1" applyFill="1" applyBorder="1" applyAlignment="1">
      <alignment horizontal="center" vertical="center" wrapText="1"/>
    </xf>
    <xf numFmtId="165" fontId="20" fillId="24" borderId="1" xfId="2" applyNumberFormat="1" applyFont="1" applyFill="1" applyBorder="1" applyAlignment="1">
      <alignment horizontal="center" vertical="center" wrapText="1"/>
    </xf>
    <xf numFmtId="165" fontId="20" fillId="24" borderId="5" xfId="2" applyNumberFormat="1" applyFont="1" applyFill="1" applyBorder="1" applyAlignment="1">
      <alignment horizontal="center" vertical="center" wrapText="1"/>
    </xf>
    <xf numFmtId="164" fontId="20" fillId="24" borderId="6" xfId="2" applyNumberFormat="1" applyFont="1" applyFill="1" applyBorder="1" applyAlignment="1">
      <alignment horizontal="center" vertical="center" wrapText="1"/>
    </xf>
    <xf numFmtId="164" fontId="23" fillId="24" borderId="8" xfId="2" applyNumberFormat="1" applyFont="1" applyFill="1" applyBorder="1" applyAlignment="1">
      <alignment horizontal="center" vertical="center" wrapText="1"/>
    </xf>
    <xf numFmtId="0" fontId="24" fillId="2" borderId="1" xfId="2" applyFont="1" applyFill="1" applyBorder="1" applyAlignment="1">
      <alignment horizontal="center" vertical="center" wrapText="1"/>
    </xf>
    <xf numFmtId="165" fontId="15" fillId="24" borderId="1" xfId="2" applyNumberFormat="1" applyFont="1" applyFill="1" applyBorder="1" applyAlignment="1">
      <alignment horizontal="center" vertical="center" wrapText="1"/>
    </xf>
    <xf numFmtId="165" fontId="10" fillId="0" borderId="1" xfId="0" applyNumberFormat="1" applyFont="1" applyBorder="1"/>
    <xf numFmtId="0" fontId="10" fillId="0" borderId="1" xfId="0" applyFont="1" applyBorder="1"/>
    <xf numFmtId="0" fontId="27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16" fillId="4" borderId="1" xfId="0" applyFont="1" applyFill="1" applyBorder="1"/>
    <xf numFmtId="0" fontId="16" fillId="4" borderId="1" xfId="0" applyFont="1" applyFill="1" applyBorder="1" applyAlignment="1">
      <alignment wrapText="1"/>
    </xf>
    <xf numFmtId="165" fontId="25" fillId="2" borderId="1" xfId="0" applyNumberFormat="1" applyFont="1" applyFill="1" applyBorder="1" applyAlignment="1">
      <alignment horizontal="center" vertical="center"/>
    </xf>
    <xf numFmtId="0" fontId="29" fillId="16" borderId="1" xfId="3" applyFont="1" applyFill="1" applyBorder="1" applyAlignment="1">
      <alignment horizontal="center" vertical="center" wrapText="1"/>
    </xf>
    <xf numFmtId="0" fontId="30" fillId="0" borderId="1" xfId="3" applyFont="1" applyBorder="1" applyAlignment="1">
      <alignment horizontal="center" vertical="center" wrapText="1"/>
    </xf>
    <xf numFmtId="1" fontId="30" fillId="0" borderId="1" xfId="3" applyNumberFormat="1" applyFont="1" applyBorder="1" applyAlignment="1">
      <alignment horizontal="center" vertical="center" wrapText="1"/>
    </xf>
    <xf numFmtId="10" fontId="30" fillId="0" borderId="1" xfId="1" applyNumberFormat="1" applyFont="1" applyBorder="1" applyAlignment="1">
      <alignment horizontal="center" vertical="center" wrapText="1"/>
    </xf>
    <xf numFmtId="0" fontId="29" fillId="16" borderId="7" xfId="3" applyFont="1" applyFill="1" applyBorder="1" applyAlignment="1">
      <alignment horizontal="center" vertical="center" wrapText="1"/>
    </xf>
    <xf numFmtId="2" fontId="30" fillId="0" borderId="7" xfId="1" applyNumberFormat="1" applyFont="1" applyBorder="1" applyAlignment="1">
      <alignment horizontal="center" vertical="center" wrapText="1"/>
    </xf>
    <xf numFmtId="0" fontId="29" fillId="16" borderId="4" xfId="3" applyFont="1" applyFill="1" applyBorder="1" applyAlignment="1">
      <alignment horizontal="center" vertical="center" wrapText="1"/>
    </xf>
    <xf numFmtId="2" fontId="30" fillId="0" borderId="4" xfId="1" applyNumberFormat="1" applyFont="1" applyBorder="1" applyAlignment="1">
      <alignment horizontal="center" vertical="center" wrapText="1"/>
    </xf>
    <xf numFmtId="0" fontId="29" fillId="2" borderId="1" xfId="3" applyFont="1" applyFill="1" applyBorder="1" applyAlignment="1">
      <alignment horizontal="center" vertical="center" wrapText="1"/>
    </xf>
    <xf numFmtId="1" fontId="30" fillId="2" borderId="1" xfId="3" applyNumberFormat="1" applyFont="1" applyFill="1" applyBorder="1" applyAlignment="1">
      <alignment horizontal="center" vertical="center" wrapText="1"/>
    </xf>
    <xf numFmtId="1" fontId="34" fillId="2" borderId="12" xfId="3" applyNumberFormat="1" applyFont="1" applyFill="1" applyBorder="1" applyAlignment="1">
      <alignment horizontal="center" vertical="center" wrapText="1"/>
    </xf>
    <xf numFmtId="0" fontId="30" fillId="2" borderId="1" xfId="3" applyFont="1" applyFill="1" applyBorder="1" applyAlignment="1">
      <alignment horizontal="center" vertical="center" wrapText="1"/>
    </xf>
    <xf numFmtId="10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12" xfId="0" applyFont="1" applyFill="1" applyBorder="1" applyAlignment="1">
      <alignment horizontal="center"/>
    </xf>
    <xf numFmtId="10" fontId="29" fillId="16" borderId="1" xfId="3" applyNumberFormat="1" applyFont="1" applyFill="1" applyBorder="1" applyAlignment="1">
      <alignment horizontal="center" vertical="center" wrapText="1"/>
    </xf>
    <xf numFmtId="2" fontId="29" fillId="16" borderId="1" xfId="3" applyNumberFormat="1" applyFont="1" applyFill="1" applyBorder="1" applyAlignment="1">
      <alignment horizontal="center" vertical="center" wrapText="1"/>
    </xf>
    <xf numFmtId="10" fontId="0" fillId="0" borderId="1" xfId="0" applyNumberFormat="1" applyBorder="1"/>
    <xf numFmtId="2" fontId="0" fillId="0" borderId="1" xfId="0" applyNumberFormat="1" applyBorder="1"/>
    <xf numFmtId="0" fontId="31" fillId="0" borderId="1" xfId="4" applyFont="1" applyBorder="1" applyAlignment="1">
      <alignment horizontal="left" vertical="center" wrapText="1"/>
    </xf>
    <xf numFmtId="0" fontId="31" fillId="0" borderId="0" xfId="4" applyFont="1" applyAlignment="1">
      <alignment horizontal="center" vertical="center" wrapText="1"/>
    </xf>
    <xf numFmtId="0" fontId="32" fillId="25" borderId="1" xfId="4" applyFont="1" applyFill="1" applyBorder="1" applyAlignment="1">
      <alignment horizontal="center" vertical="center" wrapText="1"/>
    </xf>
    <xf numFmtId="0" fontId="31" fillId="0" borderId="1" xfId="4" applyFont="1" applyBorder="1" applyAlignment="1">
      <alignment horizontal="center" vertical="center" wrapText="1"/>
    </xf>
    <xf numFmtId="0" fontId="31" fillId="0" borderId="11" xfId="4" applyFont="1" applyBorder="1" applyAlignment="1">
      <alignment horizontal="center" vertical="center" wrapText="1"/>
    </xf>
    <xf numFmtId="0" fontId="32" fillId="25" borderId="6" xfId="4" applyFont="1" applyFill="1" applyBorder="1" applyAlignment="1">
      <alignment horizontal="center" vertical="center" wrapText="1"/>
    </xf>
    <xf numFmtId="0" fontId="31" fillId="9" borderId="1" xfId="4" applyFont="1" applyFill="1" applyBorder="1" applyAlignment="1">
      <alignment horizontal="center" vertical="center" wrapText="1"/>
    </xf>
    <xf numFmtId="0" fontId="33" fillId="0" borderId="1" xfId="4" applyFont="1" applyBorder="1" applyAlignment="1">
      <alignment horizontal="center" vertical="center" wrapText="1"/>
    </xf>
    <xf numFmtId="0" fontId="33" fillId="2" borderId="1" xfId="4" applyFont="1" applyFill="1" applyBorder="1" applyAlignment="1">
      <alignment horizontal="center" vertical="center" wrapText="1"/>
    </xf>
    <xf numFmtId="2" fontId="31" fillId="0" borderId="1" xfId="4" applyNumberFormat="1" applyFont="1" applyBorder="1" applyAlignment="1">
      <alignment horizontal="center" vertical="center" wrapText="1"/>
    </xf>
    <xf numFmtId="0" fontId="35" fillId="26" borderId="13" xfId="0" applyFont="1" applyFill="1" applyBorder="1" applyAlignment="1">
      <alignment horizontal="center" vertical="center" wrapText="1"/>
    </xf>
    <xf numFmtId="0" fontId="35" fillId="2" borderId="14" xfId="0" applyFont="1" applyFill="1" applyBorder="1" applyAlignment="1">
      <alignment horizontal="center" vertical="center" wrapText="1"/>
    </xf>
    <xf numFmtId="0" fontId="36" fillId="0" borderId="15" xfId="0" applyFont="1" applyBorder="1" applyAlignment="1">
      <alignment vertical="center" wrapText="1"/>
    </xf>
    <xf numFmtId="0" fontId="37" fillId="26" borderId="16" xfId="0" applyFont="1" applyFill="1" applyBorder="1" applyAlignment="1">
      <alignment horizontal="center" vertical="center" wrapText="1"/>
    </xf>
    <xf numFmtId="0" fontId="35" fillId="2" borderId="17" xfId="0" applyFont="1" applyFill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0" fontId="35" fillId="27" borderId="17" xfId="0" applyFont="1" applyFill="1" applyBorder="1" applyAlignment="1">
      <alignment horizontal="center" vertical="center" wrapText="1"/>
    </xf>
    <xf numFmtId="0" fontId="36" fillId="0" borderId="17" xfId="0" applyFont="1" applyBorder="1" applyAlignment="1">
      <alignment vertical="center" wrapText="1"/>
    </xf>
    <xf numFmtId="0" fontId="37" fillId="26" borderId="18" xfId="0" applyFont="1" applyFill="1" applyBorder="1" applyAlignment="1">
      <alignment horizontal="center" vertical="center" wrapText="1"/>
    </xf>
    <xf numFmtId="0" fontId="36" fillId="0" borderId="19" xfId="0" applyFont="1" applyBorder="1" applyAlignment="1">
      <alignment vertical="center" wrapText="1"/>
    </xf>
    <xf numFmtId="0" fontId="36" fillId="0" borderId="20" xfId="0" applyFont="1" applyBorder="1" applyAlignment="1">
      <alignment vertical="center" wrapText="1"/>
    </xf>
    <xf numFmtId="14" fontId="37" fillId="0" borderId="17" xfId="0" applyNumberFormat="1" applyFont="1" applyBorder="1" applyAlignment="1">
      <alignment horizontal="center" vertical="center" wrapText="1"/>
    </xf>
    <xf numFmtId="0" fontId="37" fillId="0" borderId="17" xfId="0" applyFont="1" applyBorder="1" applyAlignment="1">
      <alignment horizontal="center" vertical="center" wrapText="1"/>
    </xf>
    <xf numFmtId="0" fontId="35" fillId="28" borderId="17" xfId="0" applyFont="1" applyFill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35" fillId="26" borderId="16" xfId="0" applyFont="1" applyFill="1" applyBorder="1" applyAlignment="1">
      <alignment horizontal="center" vertical="center" wrapText="1"/>
    </xf>
    <xf numFmtId="0" fontId="35" fillId="26" borderId="17" xfId="0" applyFont="1" applyFill="1" applyBorder="1" applyAlignment="1">
      <alignment horizontal="center" vertical="center" wrapText="1"/>
    </xf>
    <xf numFmtId="0" fontId="39" fillId="28" borderId="17" xfId="0" applyFont="1" applyFill="1" applyBorder="1" applyAlignment="1">
      <alignment horizontal="center" vertical="center" wrapText="1"/>
    </xf>
    <xf numFmtId="0" fontId="39" fillId="29" borderId="17" xfId="0" applyFont="1" applyFill="1" applyBorder="1" applyAlignment="1">
      <alignment horizontal="center" vertical="center" wrapText="1"/>
    </xf>
    <xf numFmtId="14" fontId="37" fillId="30" borderId="17" xfId="0" applyNumberFormat="1" applyFont="1" applyFill="1" applyBorder="1" applyAlignment="1">
      <alignment horizontal="center" vertical="center" wrapText="1"/>
    </xf>
    <xf numFmtId="0" fontId="36" fillId="0" borderId="16" xfId="0" applyFont="1" applyBorder="1" applyAlignment="1">
      <alignment vertical="center" wrapText="1"/>
    </xf>
    <xf numFmtId="0" fontId="37" fillId="30" borderId="17" xfId="0" applyFont="1" applyFill="1" applyBorder="1" applyAlignment="1">
      <alignment horizontal="center" vertical="center" wrapText="1"/>
    </xf>
    <xf numFmtId="14" fontId="37" fillId="2" borderId="17" xfId="0" applyNumberFormat="1" applyFont="1" applyFill="1" applyBorder="1" applyAlignment="1">
      <alignment horizontal="center" vertical="center" wrapText="1"/>
    </xf>
    <xf numFmtId="0" fontId="37" fillId="2" borderId="17" xfId="0" applyFont="1" applyFill="1" applyBorder="1" applyAlignment="1">
      <alignment horizontal="center" vertical="center" wrapText="1"/>
    </xf>
    <xf numFmtId="0" fontId="36" fillId="0" borderId="19" xfId="0" applyFont="1" applyBorder="1" applyAlignment="1">
      <alignment wrapText="1"/>
    </xf>
    <xf numFmtId="0" fontId="36" fillId="0" borderId="15" xfId="0" applyFont="1" applyBorder="1" applyAlignment="1">
      <alignment wrapText="1"/>
    </xf>
    <xf numFmtId="0" fontId="36" fillId="0" borderId="20" xfId="0" applyFont="1" applyBorder="1" applyAlignment="1">
      <alignment wrapText="1"/>
    </xf>
    <xf numFmtId="0" fontId="36" fillId="0" borderId="17" xfId="0" applyFont="1" applyBorder="1" applyAlignment="1">
      <alignment wrapText="1"/>
    </xf>
    <xf numFmtId="0" fontId="17" fillId="0" borderId="30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166" fontId="17" fillId="0" borderId="6" xfId="2" applyNumberFormat="1" applyFont="1" applyBorder="1" applyAlignment="1">
      <alignment horizontal="center" vertical="center" wrapText="1"/>
    </xf>
    <xf numFmtId="0" fontId="20" fillId="0" borderId="4" xfId="2" applyFont="1" applyBorder="1" applyAlignment="1">
      <alignment horizontal="center" vertical="center" wrapText="1"/>
    </xf>
    <xf numFmtId="165" fontId="20" fillId="0" borderId="1" xfId="2" applyNumberFormat="1" applyFont="1" applyBorder="1" applyAlignment="1">
      <alignment horizontal="center" vertical="center" wrapText="1"/>
    </xf>
    <xf numFmtId="166" fontId="20" fillId="0" borderId="1" xfId="2" applyNumberFormat="1" applyFont="1" applyBorder="1" applyAlignment="1">
      <alignment horizontal="center" vertical="center" wrapText="1"/>
    </xf>
    <xf numFmtId="0" fontId="20" fillId="0" borderId="1" xfId="2" applyFont="1" applyBorder="1" applyAlignment="1">
      <alignment horizontal="center" vertical="center" wrapText="1"/>
    </xf>
    <xf numFmtId="0" fontId="20" fillId="0" borderId="5" xfId="2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left" vertical="top"/>
    </xf>
    <xf numFmtId="22" fontId="36" fillId="0" borderId="17" xfId="0" applyNumberFormat="1" applyFont="1" applyBorder="1" applyAlignment="1">
      <alignment vertical="center" wrapText="1"/>
    </xf>
    <xf numFmtId="14" fontId="36" fillId="0" borderId="17" xfId="0" applyNumberFormat="1" applyFont="1" applyBorder="1" applyAlignment="1">
      <alignment horizontal="center" vertical="center" wrapText="1"/>
    </xf>
    <xf numFmtId="0" fontId="45" fillId="14" borderId="15" xfId="0" applyFont="1" applyFill="1" applyBorder="1" applyAlignment="1">
      <alignment horizontal="center" vertical="center" wrapText="1"/>
    </xf>
    <xf numFmtId="20" fontId="36" fillId="0" borderId="17" xfId="0" applyNumberFormat="1" applyFont="1" applyBorder="1" applyAlignment="1">
      <alignment horizontal="center" vertical="center" wrapText="1"/>
    </xf>
    <xf numFmtId="0" fontId="44" fillId="2" borderId="17" xfId="0" applyFont="1" applyFill="1" applyBorder="1" applyAlignment="1">
      <alignment horizontal="center" vertical="center" wrapText="1"/>
    </xf>
    <xf numFmtId="14" fontId="36" fillId="0" borderId="19" xfId="0" applyNumberFormat="1" applyFont="1" applyBorder="1" applyAlignment="1">
      <alignment horizontal="center" vertical="center" wrapText="1"/>
    </xf>
    <xf numFmtId="0" fontId="46" fillId="0" borderId="19" xfId="0" applyFont="1" applyBorder="1" applyAlignment="1">
      <alignment horizontal="center" vertical="center" wrapText="1"/>
    </xf>
    <xf numFmtId="167" fontId="37" fillId="0" borderId="17" xfId="0" applyNumberFormat="1" applyFont="1" applyBorder="1" applyAlignment="1">
      <alignment horizontal="center" vertical="center" wrapText="1"/>
    </xf>
    <xf numFmtId="0" fontId="44" fillId="2" borderId="19" xfId="0" applyFont="1" applyFill="1" applyBorder="1" applyAlignment="1">
      <alignment horizontal="center" vertical="center" wrapText="1"/>
    </xf>
    <xf numFmtId="0" fontId="36" fillId="0" borderId="17" xfId="0" applyFont="1" applyBorder="1" applyAlignment="1">
      <alignment horizontal="center" vertical="center" wrapText="1"/>
    </xf>
    <xf numFmtId="14" fontId="35" fillId="0" borderId="17" xfId="0" applyNumberFormat="1" applyFont="1" applyBorder="1" applyAlignment="1">
      <alignment horizontal="center" vertical="center" wrapText="1"/>
    </xf>
    <xf numFmtId="14" fontId="35" fillId="27" borderId="17" xfId="0" applyNumberFormat="1" applyFont="1" applyFill="1" applyBorder="1" applyAlignment="1">
      <alignment horizontal="center" vertical="center" wrapText="1"/>
    </xf>
    <xf numFmtId="14" fontId="37" fillId="7" borderId="17" xfId="0" applyNumberFormat="1" applyFont="1" applyFill="1" applyBorder="1" applyAlignment="1">
      <alignment horizontal="center" vertical="center" wrapText="1"/>
    </xf>
    <xf numFmtId="0" fontId="36" fillId="7" borderId="17" xfId="0" applyFont="1" applyFill="1" applyBorder="1" applyAlignment="1">
      <alignment vertical="center" wrapText="1"/>
    </xf>
    <xf numFmtId="14" fontId="37" fillId="16" borderId="17" xfId="0" applyNumberFormat="1" applyFont="1" applyFill="1" applyBorder="1" applyAlignment="1">
      <alignment horizontal="center" vertical="center" wrapText="1"/>
    </xf>
    <xf numFmtId="0" fontId="36" fillId="16" borderId="17" xfId="0" applyFont="1" applyFill="1" applyBorder="1" applyAlignment="1">
      <alignment vertical="center" wrapText="1"/>
    </xf>
    <xf numFmtId="0" fontId="49" fillId="0" borderId="16" xfId="0" applyFont="1" applyBorder="1" applyAlignment="1">
      <alignment horizontal="center" vertical="center" wrapText="1"/>
    </xf>
    <xf numFmtId="0" fontId="49" fillId="2" borderId="17" xfId="0" applyFont="1" applyFill="1" applyBorder="1" applyAlignment="1">
      <alignment horizontal="center" vertical="center" wrapText="1"/>
    </xf>
    <xf numFmtId="0" fontId="49" fillId="0" borderId="17" xfId="0" applyFont="1" applyBorder="1" applyAlignment="1">
      <alignment horizontal="center" vertical="center" wrapText="1"/>
    </xf>
    <xf numFmtId="0" fontId="49" fillId="27" borderId="17" xfId="0" applyFont="1" applyFill="1" applyBorder="1" applyAlignment="1">
      <alignment horizontal="center" vertical="center" wrapText="1"/>
    </xf>
    <xf numFmtId="0" fontId="8" fillId="0" borderId="0" xfId="0" applyFont="1"/>
    <xf numFmtId="0" fontId="50" fillId="28" borderId="13" xfId="0" applyFont="1" applyFill="1" applyBorder="1" applyAlignment="1">
      <alignment horizontal="center" vertical="center" wrapText="1"/>
    </xf>
    <xf numFmtId="0" fontId="50" fillId="28" borderId="14" xfId="0" applyFont="1" applyFill="1" applyBorder="1" applyAlignment="1">
      <alignment horizontal="center" vertical="center" wrapText="1"/>
    </xf>
    <xf numFmtId="0" fontId="53" fillId="0" borderId="17" xfId="0" applyFont="1" applyBorder="1" applyAlignment="1">
      <alignment horizontal="center" vertical="center" wrapText="1"/>
    </xf>
    <xf numFmtId="0" fontId="54" fillId="0" borderId="19" xfId="0" applyFont="1" applyBorder="1" applyAlignment="1">
      <alignment wrapText="1"/>
    </xf>
    <xf numFmtId="0" fontId="55" fillId="0" borderId="17" xfId="0" applyFont="1" applyBorder="1" applyAlignment="1">
      <alignment horizontal="center" vertical="center" wrapText="1"/>
    </xf>
    <xf numFmtId="0" fontId="35" fillId="4" borderId="17" xfId="0" applyFont="1" applyFill="1" applyBorder="1" applyAlignment="1">
      <alignment horizontal="center" vertical="center" wrapText="1"/>
    </xf>
    <xf numFmtId="0" fontId="36" fillId="0" borderId="33" xfId="0" applyFont="1" applyBorder="1" applyAlignment="1">
      <alignment vertical="center" wrapText="1"/>
    </xf>
    <xf numFmtId="0" fontId="36" fillId="0" borderId="34" xfId="0" applyFont="1" applyBorder="1" applyAlignment="1">
      <alignment vertical="center" wrapText="1"/>
    </xf>
    <xf numFmtId="0" fontId="36" fillId="0" borderId="38" xfId="0" applyFont="1" applyBorder="1" applyAlignment="1">
      <alignment vertical="center" wrapText="1"/>
    </xf>
    <xf numFmtId="0" fontId="52" fillId="0" borderId="1" xfId="0" applyFont="1" applyBorder="1" applyAlignment="1">
      <alignment horizontal="center" vertical="center" wrapText="1"/>
    </xf>
    <xf numFmtId="0" fontId="17" fillId="24" borderId="30" xfId="0" applyFont="1" applyFill="1" applyBorder="1" applyAlignment="1">
      <alignment horizontal="center" vertical="center" wrapText="1"/>
    </xf>
    <xf numFmtId="0" fontId="17" fillId="24" borderId="6" xfId="0" applyFont="1" applyFill="1" applyBorder="1" applyAlignment="1">
      <alignment horizontal="center" vertical="center" wrapText="1"/>
    </xf>
    <xf numFmtId="166" fontId="17" fillId="24" borderId="6" xfId="0" applyNumberFormat="1" applyFont="1" applyFill="1" applyBorder="1" applyAlignment="1">
      <alignment horizontal="center" vertical="center" wrapText="1"/>
    </xf>
    <xf numFmtId="0" fontId="56" fillId="0" borderId="4" xfId="2" applyFont="1" applyBorder="1" applyAlignment="1">
      <alignment horizontal="center" vertical="center" wrapText="1"/>
    </xf>
    <xf numFmtId="165" fontId="56" fillId="0" borderId="1" xfId="2" applyNumberFormat="1" applyFont="1" applyBorder="1" applyAlignment="1">
      <alignment horizontal="center" vertical="center" wrapText="1"/>
    </xf>
    <xf numFmtId="166" fontId="56" fillId="0" borderId="1" xfId="2" applyNumberFormat="1" applyFont="1" applyBorder="1" applyAlignment="1">
      <alignment horizontal="center" vertical="center" wrapText="1"/>
    </xf>
    <xf numFmtId="0" fontId="56" fillId="0" borderId="1" xfId="2" applyFont="1" applyBorder="1" applyAlignment="1">
      <alignment horizontal="center" vertical="center" wrapText="1"/>
    </xf>
    <xf numFmtId="165" fontId="56" fillId="0" borderId="5" xfId="2" applyNumberFormat="1" applyFont="1" applyBorder="1" applyAlignment="1">
      <alignment horizontal="center" vertical="center" wrapText="1"/>
    </xf>
    <xf numFmtId="0" fontId="56" fillId="0" borderId="39" xfId="2" applyFont="1" applyBorder="1" applyAlignment="1">
      <alignment horizontal="center" vertical="center" wrapText="1"/>
    </xf>
    <xf numFmtId="0" fontId="56" fillId="0" borderId="8" xfId="2" applyFont="1" applyBorder="1" applyAlignment="1">
      <alignment horizontal="center" vertical="center" wrapText="1"/>
    </xf>
    <xf numFmtId="166" fontId="56" fillId="0" borderId="4" xfId="2" applyNumberFormat="1" applyFont="1" applyBorder="1" applyAlignment="1">
      <alignment horizontal="center" vertical="center" wrapText="1"/>
    </xf>
    <xf numFmtId="164" fontId="56" fillId="0" borderId="6" xfId="2" applyNumberFormat="1" applyFont="1" applyBorder="1" applyAlignment="1">
      <alignment horizontal="center" vertical="center" wrapText="1"/>
    </xf>
    <xf numFmtId="164" fontId="56" fillId="0" borderId="5" xfId="2" applyNumberFormat="1" applyFont="1" applyBorder="1" applyAlignment="1">
      <alignment horizontal="center" vertical="center" wrapText="1"/>
    </xf>
    <xf numFmtId="166" fontId="56" fillId="0" borderId="5" xfId="2" applyNumberFormat="1" applyFont="1" applyBorder="1" applyAlignment="1">
      <alignment horizontal="center" vertical="center" wrapText="1"/>
    </xf>
    <xf numFmtId="0" fontId="56" fillId="0" borderId="5" xfId="2" applyFont="1" applyBorder="1" applyAlignment="1">
      <alignment horizontal="center" vertical="center" wrapText="1"/>
    </xf>
    <xf numFmtId="164" fontId="57" fillId="0" borderId="8" xfId="2" applyNumberFormat="1" applyFont="1" applyBorder="1" applyAlignment="1">
      <alignment horizontal="center" vertical="center" wrapText="1"/>
    </xf>
    <xf numFmtId="166" fontId="56" fillId="0" borderId="9" xfId="2" applyNumberFormat="1" applyFont="1" applyBorder="1" applyAlignment="1">
      <alignment horizontal="center" vertical="center" wrapText="1"/>
    </xf>
    <xf numFmtId="0" fontId="56" fillId="0" borderId="10" xfId="2" applyFont="1" applyBorder="1" applyAlignment="1">
      <alignment horizontal="center" vertical="center" wrapText="1"/>
    </xf>
    <xf numFmtId="166" fontId="56" fillId="0" borderId="10" xfId="2" applyNumberFormat="1" applyFont="1" applyBorder="1" applyAlignment="1">
      <alignment horizontal="center" vertical="center" wrapText="1"/>
    </xf>
    <xf numFmtId="0" fontId="58" fillId="0" borderId="31" xfId="0" applyFont="1" applyBorder="1" applyAlignment="1">
      <alignment horizontal="center" vertical="center" wrapText="1"/>
    </xf>
    <xf numFmtId="0" fontId="7" fillId="0" borderId="0" xfId="0" applyFont="1"/>
    <xf numFmtId="0" fontId="58" fillId="0" borderId="32" xfId="0" applyFont="1" applyBorder="1" applyAlignment="1">
      <alignment horizontal="center" vertical="center" wrapText="1"/>
    </xf>
    <xf numFmtId="164" fontId="7" fillId="0" borderId="0" xfId="0" applyNumberFormat="1" applyFont="1"/>
    <xf numFmtId="0" fontId="59" fillId="16" borderId="1" xfId="3" applyFont="1" applyFill="1" applyBorder="1" applyAlignment="1">
      <alignment horizontal="center" vertical="center" wrapText="1"/>
    </xf>
    <xf numFmtId="0" fontId="60" fillId="0" borderId="0" xfId="3" applyFont="1" applyAlignment="1">
      <alignment horizontal="center" vertical="center" wrapText="1"/>
    </xf>
    <xf numFmtId="0" fontId="61" fillId="8" borderId="1" xfId="3" applyFont="1" applyFill="1" applyBorder="1" applyAlignment="1">
      <alignment horizontal="center" vertical="center" wrapText="1"/>
    </xf>
    <xf numFmtId="0" fontId="62" fillId="8" borderId="1" xfId="3" applyFont="1" applyFill="1" applyBorder="1" applyAlignment="1">
      <alignment horizontal="center" vertical="center" wrapText="1"/>
    </xf>
    <xf numFmtId="1" fontId="62" fillId="8" borderId="1" xfId="3" applyNumberFormat="1" applyFont="1" applyFill="1" applyBorder="1" applyAlignment="1">
      <alignment horizontal="center" vertical="center" wrapText="1"/>
    </xf>
    <xf numFmtId="0" fontId="61" fillId="22" borderId="1" xfId="3" applyFont="1" applyFill="1" applyBorder="1" applyAlignment="1">
      <alignment horizontal="center" vertical="center" wrapText="1"/>
    </xf>
    <xf numFmtId="0" fontId="62" fillId="22" borderId="1" xfId="3" applyFont="1" applyFill="1" applyBorder="1" applyAlignment="1">
      <alignment horizontal="center" vertical="center" wrapText="1"/>
    </xf>
    <xf numFmtId="1" fontId="62" fillId="22" borderId="1" xfId="3" applyNumberFormat="1" applyFont="1" applyFill="1" applyBorder="1" applyAlignment="1">
      <alignment horizontal="center" vertical="center" wrapText="1"/>
    </xf>
    <xf numFmtId="0" fontId="59" fillId="8" borderId="1" xfId="3" applyFont="1" applyFill="1" applyBorder="1" applyAlignment="1">
      <alignment horizontal="center" vertical="center" wrapText="1"/>
    </xf>
    <xf numFmtId="0" fontId="60" fillId="8" borderId="1" xfId="3" applyFont="1" applyFill="1" applyBorder="1" applyAlignment="1">
      <alignment horizontal="center" vertical="center" wrapText="1"/>
    </xf>
    <xf numFmtId="0" fontId="61" fillId="2" borderId="1" xfId="3" applyFont="1" applyFill="1" applyBorder="1" applyAlignment="1">
      <alignment horizontal="center" vertical="center" wrapText="1"/>
    </xf>
    <xf numFmtId="0" fontId="62" fillId="2" borderId="1" xfId="3" applyFont="1" applyFill="1" applyBorder="1" applyAlignment="1">
      <alignment horizontal="center" vertical="center" wrapText="1"/>
    </xf>
    <xf numFmtId="1" fontId="62" fillId="2" borderId="1" xfId="3" applyNumberFormat="1" applyFont="1" applyFill="1" applyBorder="1" applyAlignment="1">
      <alignment horizontal="center" vertical="center" wrapText="1"/>
    </xf>
    <xf numFmtId="0" fontId="59" fillId="21" borderId="1" xfId="3" applyFont="1" applyFill="1" applyBorder="1" applyAlignment="1">
      <alignment horizontal="center" vertical="center" wrapText="1"/>
    </xf>
    <xf numFmtId="0" fontId="60" fillId="0" borderId="1" xfId="3" applyFont="1" applyBorder="1" applyAlignment="1">
      <alignment horizontal="center" vertical="center" wrapText="1"/>
    </xf>
    <xf numFmtId="0" fontId="59" fillId="22" borderId="1" xfId="3" applyFont="1" applyFill="1" applyBorder="1" applyAlignment="1">
      <alignment horizontal="center" vertical="center" wrapText="1"/>
    </xf>
    <xf numFmtId="0" fontId="60" fillId="22" borderId="1" xfId="3" applyFont="1" applyFill="1" applyBorder="1" applyAlignment="1">
      <alignment horizontal="center" vertical="center" wrapText="1"/>
    </xf>
    <xf numFmtId="0" fontId="61" fillId="0" borderId="1" xfId="3" applyFont="1" applyBorder="1" applyAlignment="1">
      <alignment horizontal="center" vertical="center" wrapText="1"/>
    </xf>
    <xf numFmtId="1" fontId="61" fillId="0" borderId="1" xfId="3" applyNumberFormat="1" applyFont="1" applyBorder="1" applyAlignment="1">
      <alignment horizontal="center" vertical="center" wrapText="1"/>
    </xf>
    <xf numFmtId="0" fontId="61" fillId="24" borderId="1" xfId="3" applyFont="1" applyFill="1" applyBorder="1" applyAlignment="1">
      <alignment horizontal="center" vertical="center" wrapText="1"/>
    </xf>
    <xf numFmtId="1" fontId="61" fillId="24" borderId="1" xfId="3" applyNumberFormat="1" applyFont="1" applyFill="1" applyBorder="1" applyAlignment="1">
      <alignment horizontal="center" vertical="center" wrapText="1"/>
    </xf>
    <xf numFmtId="0" fontId="59" fillId="21" borderId="0" xfId="3" applyFont="1" applyFill="1" applyAlignment="1">
      <alignment horizontal="center" vertical="center" wrapText="1"/>
    </xf>
    <xf numFmtId="0" fontId="59" fillId="2" borderId="7" xfId="3" applyFont="1" applyFill="1" applyBorder="1" applyAlignment="1">
      <alignment horizontal="center" vertical="center" wrapText="1"/>
    </xf>
    <xf numFmtId="0" fontId="60" fillId="2" borderId="1" xfId="3" applyFont="1" applyFill="1" applyBorder="1" applyAlignment="1">
      <alignment horizontal="center" vertical="center" wrapText="1"/>
    </xf>
    <xf numFmtId="0" fontId="60" fillId="24" borderId="1" xfId="3" applyFont="1" applyFill="1" applyBorder="1" applyAlignment="1">
      <alignment horizontal="center" vertical="center" wrapText="1"/>
    </xf>
    <xf numFmtId="0" fontId="65" fillId="31" borderId="1" xfId="3" applyFont="1" applyFill="1" applyBorder="1" applyAlignment="1">
      <alignment horizontal="center" vertical="center" wrapText="1"/>
    </xf>
    <xf numFmtId="0" fontId="66" fillId="31" borderId="1" xfId="3" applyFont="1" applyFill="1" applyBorder="1" applyAlignment="1">
      <alignment horizontal="center" vertical="center" wrapText="1"/>
    </xf>
    <xf numFmtId="0" fontId="67" fillId="31" borderId="1" xfId="3" applyFont="1" applyFill="1" applyBorder="1" applyAlignment="1">
      <alignment horizontal="center" vertical="center" wrapText="1"/>
    </xf>
    <xf numFmtId="0" fontId="68" fillId="24" borderId="1" xfId="3" applyFont="1" applyFill="1" applyBorder="1" applyAlignment="1">
      <alignment horizontal="center" vertical="center" wrapText="1"/>
    </xf>
    <xf numFmtId="0" fontId="69" fillId="8" borderId="1" xfId="3" applyFont="1" applyFill="1" applyBorder="1" applyAlignment="1">
      <alignment horizontal="center" vertical="center" wrapText="1"/>
    </xf>
    <xf numFmtId="0" fontId="72" fillId="4" borderId="0" xfId="0" applyFont="1" applyFill="1" applyAlignment="1">
      <alignment horizontal="center" vertical="center"/>
    </xf>
    <xf numFmtId="0" fontId="73" fillId="2" borderId="1" xfId="3" applyFont="1" applyFill="1" applyBorder="1" applyAlignment="1">
      <alignment horizontal="center" vertical="center" wrapText="1"/>
    </xf>
    <xf numFmtId="1" fontId="73" fillId="2" borderId="1" xfId="3" applyNumberFormat="1" applyFont="1" applyFill="1" applyBorder="1" applyAlignment="1">
      <alignment horizontal="center" vertical="center" wrapText="1"/>
    </xf>
    <xf numFmtId="0" fontId="73" fillId="22" borderId="1" xfId="3" applyFont="1" applyFill="1" applyBorder="1" applyAlignment="1">
      <alignment horizontal="center" vertical="center" wrapText="1"/>
    </xf>
    <xf numFmtId="1" fontId="73" fillId="22" borderId="1" xfId="3" applyNumberFormat="1" applyFont="1" applyFill="1" applyBorder="1" applyAlignment="1">
      <alignment horizontal="center" vertical="center" wrapText="1"/>
    </xf>
    <xf numFmtId="1" fontId="30" fillId="0" borderId="0" xfId="3" applyNumberFormat="1" applyFont="1" applyAlignment="1">
      <alignment horizontal="center" vertical="center" wrapText="1"/>
    </xf>
    <xf numFmtId="0" fontId="74" fillId="32" borderId="1" xfId="4" applyFont="1" applyFill="1" applyBorder="1" applyAlignment="1">
      <alignment horizontal="center" vertical="center" wrapText="1"/>
    </xf>
    <xf numFmtId="0" fontId="75" fillId="2" borderId="1" xfId="3" applyFont="1" applyFill="1" applyBorder="1" applyAlignment="1">
      <alignment horizontal="center" vertical="center" wrapText="1"/>
    </xf>
    <xf numFmtId="0" fontId="75" fillId="2" borderId="1" xfId="4" applyFont="1" applyFill="1" applyBorder="1" applyAlignment="1">
      <alignment horizontal="center" vertical="center" wrapText="1"/>
    </xf>
    <xf numFmtId="0" fontId="76" fillId="22" borderId="5" xfId="3" applyFont="1" applyFill="1" applyBorder="1" applyAlignment="1">
      <alignment horizontal="center" vertical="center" wrapText="1"/>
    </xf>
    <xf numFmtId="165" fontId="76" fillId="22" borderId="1" xfId="4" applyNumberFormat="1" applyFont="1" applyFill="1" applyBorder="1" applyAlignment="1">
      <alignment horizontal="center" vertical="center" wrapText="1"/>
    </xf>
    <xf numFmtId="0" fontId="76" fillId="22" borderId="1" xfId="3" applyFont="1" applyFill="1" applyBorder="1" applyAlignment="1">
      <alignment horizontal="center" vertical="center" wrapText="1"/>
    </xf>
    <xf numFmtId="0" fontId="77" fillId="8" borderId="1" xfId="3" applyFont="1" applyFill="1" applyBorder="1" applyAlignment="1">
      <alignment horizontal="center" vertical="center" wrapText="1"/>
    </xf>
    <xf numFmtId="0" fontId="78" fillId="8" borderId="1" xfId="3" applyFont="1" applyFill="1" applyBorder="1" applyAlignment="1">
      <alignment horizontal="center" vertical="center" wrapText="1"/>
    </xf>
    <xf numFmtId="0" fontId="79" fillId="8" borderId="1" xfId="3" applyFont="1" applyFill="1" applyBorder="1" applyAlignment="1">
      <alignment horizontal="center" vertical="center" wrapText="1"/>
    </xf>
    <xf numFmtId="0" fontId="80" fillId="8" borderId="1" xfId="3" applyFont="1" applyFill="1" applyBorder="1" applyAlignment="1">
      <alignment horizontal="center" vertical="center" wrapText="1"/>
    </xf>
    <xf numFmtId="0" fontId="81" fillId="0" borderId="1" xfId="3" applyFont="1" applyBorder="1" applyAlignment="1">
      <alignment horizontal="center" vertical="center" wrapText="1"/>
    </xf>
    <xf numFmtId="0" fontId="82" fillId="0" borderId="1" xfId="3" applyFont="1" applyBorder="1" applyAlignment="1">
      <alignment horizontal="center" vertical="center" wrapText="1"/>
    </xf>
    <xf numFmtId="0" fontId="77" fillId="33" borderId="1" xfId="3" applyFont="1" applyFill="1" applyBorder="1" applyAlignment="1">
      <alignment horizontal="center" vertical="center" wrapText="1"/>
    </xf>
    <xf numFmtId="0" fontId="80" fillId="33" borderId="1" xfId="3" applyFont="1" applyFill="1" applyBorder="1" applyAlignment="1">
      <alignment horizontal="center" vertical="center" wrapText="1"/>
    </xf>
    <xf numFmtId="0" fontId="81" fillId="0" borderId="0" xfId="3" applyFont="1" applyAlignment="1">
      <alignment horizontal="center" vertical="center" wrapText="1"/>
    </xf>
    <xf numFmtId="0" fontId="82" fillId="0" borderId="0" xfId="3" applyFont="1" applyAlignment="1">
      <alignment horizontal="center" vertical="center" wrapText="1"/>
    </xf>
    <xf numFmtId="0" fontId="77" fillId="16" borderId="1" xfId="3" applyFont="1" applyFill="1" applyBorder="1" applyAlignment="1">
      <alignment horizontal="center" vertical="center" wrapText="1"/>
    </xf>
    <xf numFmtId="0" fontId="80" fillId="16" borderId="1" xfId="3" applyFont="1" applyFill="1" applyBorder="1" applyAlignment="1">
      <alignment horizontal="center" vertical="center" wrapText="1"/>
    </xf>
    <xf numFmtId="0" fontId="83" fillId="16" borderId="1" xfId="3" applyFont="1" applyFill="1" applyBorder="1" applyAlignment="1">
      <alignment horizontal="center" vertical="center" wrapText="1"/>
    </xf>
    <xf numFmtId="0" fontId="84" fillId="16" borderId="1" xfId="3" applyFont="1" applyFill="1" applyBorder="1" applyAlignment="1">
      <alignment horizontal="center" vertical="center" wrapText="1"/>
    </xf>
    <xf numFmtId="0" fontId="76" fillId="22" borderId="0" xfId="3" applyFont="1" applyFill="1" applyAlignment="1">
      <alignment horizontal="center" vertical="center" wrapText="1"/>
    </xf>
    <xf numFmtId="0" fontId="74" fillId="0" borderId="0" xfId="4" applyFont="1" applyAlignment="1">
      <alignment horizontal="center" vertical="center" wrapText="1"/>
    </xf>
    <xf numFmtId="0" fontId="72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wrapText="1"/>
    </xf>
    <xf numFmtId="0" fontId="64" fillId="34" borderId="1" xfId="3" applyFont="1" applyFill="1" applyBorder="1" applyAlignment="1">
      <alignment horizontal="center" vertical="center" wrapText="1"/>
    </xf>
    <xf numFmtId="0" fontId="70" fillId="34" borderId="1" xfId="3" applyFont="1" applyFill="1" applyBorder="1" applyAlignment="1">
      <alignment horizontal="center" vertical="center" wrapText="1"/>
    </xf>
    <xf numFmtId="0" fontId="68" fillId="34" borderId="1" xfId="3" applyFont="1" applyFill="1" applyBorder="1" applyAlignment="1">
      <alignment horizontal="center" vertical="center" wrapText="1"/>
    </xf>
    <xf numFmtId="0" fontId="74" fillId="32" borderId="7" xfId="4" applyFont="1" applyFill="1" applyBorder="1" applyAlignment="1">
      <alignment horizontal="center" vertical="center" wrapText="1"/>
    </xf>
    <xf numFmtId="0" fontId="85" fillId="35" borderId="40" xfId="4" applyFont="1" applyFill="1" applyBorder="1" applyAlignment="1">
      <alignment horizontal="center" vertical="center"/>
    </xf>
    <xf numFmtId="14" fontId="86" fillId="36" borderId="40" xfId="4" applyNumberFormat="1" applyFont="1" applyFill="1" applyBorder="1" applyAlignment="1">
      <alignment horizontal="center" vertical="center"/>
    </xf>
    <xf numFmtId="0" fontId="86" fillId="36" borderId="40" xfId="4" applyFont="1" applyFill="1" applyBorder="1" applyAlignment="1">
      <alignment horizontal="center" vertical="center"/>
    </xf>
    <xf numFmtId="164" fontId="86" fillId="36" borderId="40" xfId="4" applyNumberFormat="1" applyFont="1" applyFill="1" applyBorder="1" applyAlignment="1">
      <alignment horizontal="center" vertical="center"/>
    </xf>
    <xf numFmtId="0" fontId="87" fillId="37" borderId="40" xfId="4" applyFont="1" applyFill="1" applyBorder="1" applyAlignment="1">
      <alignment horizontal="center" vertical="center"/>
    </xf>
    <xf numFmtId="0" fontId="86" fillId="38" borderId="40" xfId="4" applyFont="1" applyFill="1" applyBorder="1" applyAlignment="1">
      <alignment horizontal="center" vertical="center"/>
    </xf>
    <xf numFmtId="164" fontId="86" fillId="38" borderId="40" xfId="4" applyNumberFormat="1" applyFont="1" applyFill="1" applyBorder="1" applyAlignment="1">
      <alignment horizontal="center" vertical="center"/>
    </xf>
    <xf numFmtId="14" fontId="86" fillId="38" borderId="40" xfId="4" applyNumberFormat="1" applyFont="1" applyFill="1" applyBorder="1" applyAlignment="1">
      <alignment horizontal="center" vertical="center"/>
    </xf>
    <xf numFmtId="0" fontId="86" fillId="0" borderId="40" xfId="4" applyFont="1" applyBorder="1" applyAlignment="1">
      <alignment horizontal="center" vertical="center"/>
    </xf>
    <xf numFmtId="0" fontId="88" fillId="35" borderId="40" xfId="4" applyFont="1" applyFill="1" applyBorder="1" applyAlignment="1">
      <alignment horizontal="center" vertical="center"/>
    </xf>
    <xf numFmtId="14" fontId="89" fillId="36" borderId="40" xfId="4" applyNumberFormat="1" applyFont="1" applyFill="1" applyBorder="1" applyAlignment="1">
      <alignment horizontal="center" vertical="center"/>
    </xf>
    <xf numFmtId="14" fontId="90" fillId="36" borderId="40" xfId="4" applyNumberFormat="1" applyFont="1" applyFill="1" applyBorder="1" applyAlignment="1">
      <alignment horizontal="center" vertical="center"/>
    </xf>
    <xf numFmtId="0" fontId="89" fillId="36" borderId="40" xfId="4" applyFont="1" applyFill="1" applyBorder="1" applyAlignment="1">
      <alignment horizontal="center" vertical="center"/>
    </xf>
    <xf numFmtId="14" fontId="90" fillId="36" borderId="41" xfId="4" applyNumberFormat="1" applyFont="1" applyFill="1" applyBorder="1" applyAlignment="1">
      <alignment horizontal="center" vertical="center"/>
    </xf>
    <xf numFmtId="14" fontId="89" fillId="36" borderId="10" xfId="4" applyNumberFormat="1" applyFont="1" applyFill="1" applyBorder="1" applyAlignment="1">
      <alignment horizontal="center" vertical="center"/>
    </xf>
    <xf numFmtId="14" fontId="89" fillId="0" borderId="0" xfId="4" applyNumberFormat="1" applyFont="1" applyAlignment="1">
      <alignment horizontal="center" vertical="center"/>
    </xf>
    <xf numFmtId="14" fontId="90" fillId="0" borderId="0" xfId="4" applyNumberFormat="1" applyFont="1" applyAlignment="1">
      <alignment horizontal="center" vertical="center"/>
    </xf>
    <xf numFmtId="0" fontId="89" fillId="0" borderId="0" xfId="4" applyFont="1" applyAlignment="1">
      <alignment horizontal="center" vertical="center"/>
    </xf>
    <xf numFmtId="0" fontId="91" fillId="0" borderId="0" xfId="4" applyFont="1" applyAlignment="1">
      <alignment horizontal="center" vertical="center"/>
    </xf>
    <xf numFmtId="164" fontId="89" fillId="36" borderId="40" xfId="4" applyNumberFormat="1" applyFont="1" applyFill="1" applyBorder="1" applyAlignment="1">
      <alignment horizontal="center" vertical="center"/>
    </xf>
    <xf numFmtId="0" fontId="90" fillId="36" borderId="40" xfId="4" applyFont="1" applyFill="1" applyBorder="1" applyAlignment="1">
      <alignment horizontal="center" vertical="center"/>
    </xf>
    <xf numFmtId="164" fontId="90" fillId="36" borderId="40" xfId="4" applyNumberFormat="1" applyFont="1" applyFill="1" applyBorder="1" applyAlignment="1">
      <alignment horizontal="center" vertical="center"/>
    </xf>
    <xf numFmtId="0" fontId="90" fillId="36" borderId="41" xfId="4" applyFont="1" applyFill="1" applyBorder="1" applyAlignment="1">
      <alignment horizontal="center" vertical="center"/>
    </xf>
    <xf numFmtId="14" fontId="89" fillId="36" borderId="41" xfId="4" applyNumberFormat="1" applyFont="1" applyFill="1" applyBorder="1" applyAlignment="1">
      <alignment horizontal="center" vertical="center"/>
    </xf>
    <xf numFmtId="0" fontId="89" fillId="36" borderId="10" xfId="4" applyFont="1" applyFill="1" applyBorder="1" applyAlignment="1">
      <alignment horizontal="center" vertical="center"/>
    </xf>
    <xf numFmtId="0" fontId="92" fillId="39" borderId="40" xfId="4" applyFont="1" applyFill="1" applyBorder="1" applyAlignment="1">
      <alignment horizontal="center" vertical="center"/>
    </xf>
    <xf numFmtId="0" fontId="92" fillId="38" borderId="40" xfId="4" applyFont="1" applyFill="1" applyBorder="1" applyAlignment="1">
      <alignment horizontal="center" vertical="center"/>
    </xf>
    <xf numFmtId="0" fontId="75" fillId="38" borderId="40" xfId="4" applyFont="1" applyFill="1" applyBorder="1" applyAlignment="1">
      <alignment horizontal="center" vertical="center"/>
    </xf>
    <xf numFmtId="0" fontId="75" fillId="0" borderId="40" xfId="4" applyFont="1" applyBorder="1" applyAlignment="1">
      <alignment horizontal="center" vertical="center"/>
    </xf>
    <xf numFmtId="164" fontId="89" fillId="38" borderId="40" xfId="4" applyNumberFormat="1" applyFont="1" applyFill="1" applyBorder="1" applyAlignment="1">
      <alignment horizontal="center" vertical="center"/>
    </xf>
    <xf numFmtId="14" fontId="89" fillId="38" borderId="40" xfId="4" applyNumberFormat="1" applyFont="1" applyFill="1" applyBorder="1" applyAlignment="1">
      <alignment horizontal="center" vertical="center"/>
    </xf>
    <xf numFmtId="14" fontId="92" fillId="39" borderId="40" xfId="4" applyNumberFormat="1" applyFont="1" applyFill="1" applyBorder="1" applyAlignment="1">
      <alignment horizontal="center" vertical="center"/>
    </xf>
    <xf numFmtId="0" fontId="93" fillId="0" borderId="0" xfId="4" applyFont="1" applyAlignment="1">
      <alignment horizontal="center" vertical="center" wrapText="1"/>
    </xf>
    <xf numFmtId="0" fontId="94" fillId="0" borderId="0" xfId="4" applyFont="1" applyAlignment="1">
      <alignment vertical="center" wrapText="1"/>
    </xf>
    <xf numFmtId="0" fontId="95" fillId="40" borderId="42" xfId="4" applyFont="1" applyFill="1" applyBorder="1" applyAlignment="1">
      <alignment horizontal="center" vertical="center" wrapText="1"/>
    </xf>
    <xf numFmtId="0" fontId="95" fillId="40" borderId="40" xfId="4" applyFont="1" applyFill="1" applyBorder="1" applyAlignment="1">
      <alignment horizontal="center" vertical="center" wrapText="1"/>
    </xf>
    <xf numFmtId="14" fontId="96" fillId="36" borderId="42" xfId="4" applyNumberFormat="1" applyFont="1" applyFill="1" applyBorder="1" applyAlignment="1">
      <alignment horizontal="center" vertical="center" wrapText="1"/>
    </xf>
    <xf numFmtId="0" fontId="96" fillId="36" borderId="40" xfId="4" applyFont="1" applyFill="1" applyBorder="1" applyAlignment="1">
      <alignment horizontal="center" vertical="center" wrapText="1"/>
    </xf>
    <xf numFmtId="2" fontId="96" fillId="36" borderId="40" xfId="4" applyNumberFormat="1" applyFont="1" applyFill="1" applyBorder="1" applyAlignment="1">
      <alignment horizontal="center" vertical="center" wrapText="1"/>
    </xf>
    <xf numFmtId="2" fontId="96" fillId="36" borderId="43" xfId="4" applyNumberFormat="1" applyFont="1" applyFill="1" applyBorder="1" applyAlignment="1">
      <alignment horizontal="center" vertical="center" wrapText="1"/>
    </xf>
    <xf numFmtId="14" fontId="96" fillId="36" borderId="44" xfId="4" applyNumberFormat="1" applyFont="1" applyFill="1" applyBorder="1" applyAlignment="1">
      <alignment horizontal="center" vertical="center" wrapText="1"/>
    </xf>
    <xf numFmtId="0" fontId="96" fillId="36" borderId="41" xfId="4" applyFont="1" applyFill="1" applyBorder="1" applyAlignment="1">
      <alignment horizontal="center" vertical="center" wrapText="1"/>
    </xf>
    <xf numFmtId="2" fontId="96" fillId="36" borderId="41" xfId="4" applyNumberFormat="1" applyFont="1" applyFill="1" applyBorder="1" applyAlignment="1">
      <alignment horizontal="center" vertical="center" wrapText="1"/>
    </xf>
    <xf numFmtId="14" fontId="96" fillId="36" borderId="4" xfId="4" applyNumberFormat="1" applyFont="1" applyFill="1" applyBorder="1" applyAlignment="1">
      <alignment horizontal="center" vertical="center" wrapText="1"/>
    </xf>
    <xf numFmtId="0" fontId="96" fillId="36" borderId="1" xfId="4" applyFont="1" applyFill="1" applyBorder="1" applyAlignment="1">
      <alignment horizontal="center" vertical="center" wrapText="1"/>
    </xf>
    <xf numFmtId="2" fontId="96" fillId="36" borderId="1" xfId="4" applyNumberFormat="1" applyFont="1" applyFill="1" applyBorder="1" applyAlignment="1">
      <alignment horizontal="center" vertical="center" wrapText="1"/>
    </xf>
    <xf numFmtId="0" fontId="87" fillId="37" borderId="45" xfId="4" applyFont="1" applyFill="1" applyBorder="1" applyAlignment="1">
      <alignment horizontal="center" vertical="center"/>
    </xf>
    <xf numFmtId="0" fontId="97" fillId="6" borderId="1" xfId="4" applyFont="1" applyFill="1" applyBorder="1" applyAlignment="1">
      <alignment horizontal="center" vertical="center" wrapText="1"/>
    </xf>
    <xf numFmtId="0" fontId="97" fillId="24" borderId="1" xfId="4" applyFont="1" applyFill="1" applyBorder="1" applyAlignment="1">
      <alignment horizontal="center" vertical="center" wrapText="1"/>
    </xf>
    <xf numFmtId="0" fontId="98" fillId="0" borderId="0" xfId="4" applyFont="1" applyAlignment="1">
      <alignment horizontal="center" vertical="center" wrapText="1"/>
    </xf>
    <xf numFmtId="0" fontId="99" fillId="16" borderId="40" xfId="4" applyFont="1" applyFill="1" applyBorder="1" applyAlignment="1">
      <alignment horizontal="center" vertical="center" wrapText="1"/>
    </xf>
    <xf numFmtId="0" fontId="99" fillId="16" borderId="43" xfId="4" applyFont="1" applyFill="1" applyBorder="1" applyAlignment="1">
      <alignment horizontal="center" vertical="center" wrapText="1"/>
    </xf>
    <xf numFmtId="0" fontId="93" fillId="41" borderId="40" xfId="4" applyFont="1" applyFill="1" applyBorder="1" applyAlignment="1">
      <alignment horizontal="center" vertical="center" wrapText="1"/>
    </xf>
    <xf numFmtId="14" fontId="93" fillId="0" borderId="40" xfId="4" applyNumberFormat="1" applyFont="1" applyBorder="1" applyAlignment="1">
      <alignment horizontal="center" vertical="center" wrapText="1"/>
    </xf>
    <xf numFmtId="2" fontId="93" fillId="0" borderId="40" xfId="4" applyNumberFormat="1" applyFont="1" applyBorder="1" applyAlignment="1">
      <alignment horizontal="center" vertical="center" wrapText="1"/>
    </xf>
    <xf numFmtId="0" fontId="93" fillId="41" borderId="42" xfId="4" applyFont="1" applyFill="1" applyBorder="1" applyAlignment="1">
      <alignment horizontal="center" vertical="center" wrapText="1"/>
    </xf>
    <xf numFmtId="0" fontId="93" fillId="41" borderId="44" xfId="4" applyFont="1" applyFill="1" applyBorder="1" applyAlignment="1">
      <alignment horizontal="center" vertical="center" wrapText="1"/>
    </xf>
    <xf numFmtId="0" fontId="93" fillId="41" borderId="1" xfId="4" applyFont="1" applyFill="1" applyBorder="1" applyAlignment="1">
      <alignment horizontal="center" vertical="center" wrapText="1"/>
    </xf>
    <xf numFmtId="0" fontId="96" fillId="36" borderId="10" xfId="4" applyFont="1" applyFill="1" applyBorder="1" applyAlignment="1">
      <alignment horizontal="center" vertical="center" wrapText="1"/>
    </xf>
    <xf numFmtId="14" fontId="96" fillId="36" borderId="40" xfId="4" applyNumberFormat="1" applyFont="1" applyFill="1" applyBorder="1" applyAlignment="1">
      <alignment horizontal="center" vertical="center" wrapText="1"/>
    </xf>
    <xf numFmtId="14" fontId="96" fillId="36" borderId="41" xfId="4" applyNumberFormat="1" applyFont="1" applyFill="1" applyBorder="1" applyAlignment="1">
      <alignment horizontal="center" vertical="center" wrapText="1"/>
    </xf>
    <xf numFmtId="14" fontId="96" fillId="36" borderId="10" xfId="4" applyNumberFormat="1" applyFont="1" applyFill="1" applyBorder="1" applyAlignment="1">
      <alignment horizontal="center" vertical="center" wrapText="1"/>
    </xf>
    <xf numFmtId="0" fontId="95" fillId="40" borderId="41" xfId="4" applyFont="1" applyFill="1" applyBorder="1" applyAlignment="1">
      <alignment horizontal="center" vertical="center" wrapText="1"/>
    </xf>
    <xf numFmtId="164" fontId="96" fillId="36" borderId="41" xfId="4" applyNumberFormat="1" applyFont="1" applyFill="1" applyBorder="1" applyAlignment="1">
      <alignment horizontal="center" vertical="center" wrapText="1"/>
    </xf>
    <xf numFmtId="164" fontId="96" fillId="36" borderId="40" xfId="4" applyNumberFormat="1" applyFont="1" applyFill="1" applyBorder="1" applyAlignment="1">
      <alignment horizontal="center" vertical="center" wrapText="1"/>
    </xf>
    <xf numFmtId="0" fontId="59" fillId="10" borderId="1" xfId="4" applyFont="1" applyFill="1" applyBorder="1" applyAlignment="1">
      <alignment horizontal="center" vertical="center" wrapText="1"/>
    </xf>
    <xf numFmtId="0" fontId="93" fillId="0" borderId="1" xfId="4" applyFont="1" applyBorder="1" applyAlignment="1">
      <alignment horizontal="center" vertical="center" wrapText="1"/>
    </xf>
    <xf numFmtId="14" fontId="93" fillId="0" borderId="1" xfId="4" applyNumberFormat="1" applyFont="1" applyBorder="1" applyAlignment="1">
      <alignment horizontal="center" vertical="center" wrapText="1"/>
    </xf>
    <xf numFmtId="164" fontId="93" fillId="0" borderId="1" xfId="4" applyNumberFormat="1" applyFont="1" applyBorder="1" applyAlignment="1">
      <alignment horizontal="center" vertical="center" wrapText="1"/>
    </xf>
    <xf numFmtId="0" fontId="101" fillId="42" borderId="1" xfId="4" applyFont="1" applyFill="1" applyBorder="1" applyAlignment="1">
      <alignment horizontal="center" vertical="center" wrapText="1"/>
    </xf>
    <xf numFmtId="0" fontId="95" fillId="35" borderId="42" xfId="4" applyFont="1" applyFill="1" applyBorder="1" applyAlignment="1">
      <alignment horizontal="center" vertical="center" wrapText="1"/>
    </xf>
    <xf numFmtId="0" fontId="95" fillId="35" borderId="40" xfId="4" applyFont="1" applyFill="1" applyBorder="1" applyAlignment="1">
      <alignment horizontal="center" vertical="center" wrapText="1"/>
    </xf>
    <xf numFmtId="0" fontId="96" fillId="36" borderId="42" xfId="4" applyFont="1" applyFill="1" applyBorder="1" applyAlignment="1">
      <alignment horizontal="center" vertical="center" wrapText="1"/>
    </xf>
    <xf numFmtId="0" fontId="103" fillId="36" borderId="42" xfId="4" applyFont="1" applyFill="1" applyBorder="1" applyAlignment="1">
      <alignment horizontal="center" vertical="center" wrapText="1"/>
    </xf>
    <xf numFmtId="164" fontId="96" fillId="36" borderId="43" xfId="4" applyNumberFormat="1" applyFont="1" applyFill="1" applyBorder="1" applyAlignment="1">
      <alignment horizontal="center" vertical="center" wrapText="1"/>
    </xf>
    <xf numFmtId="0" fontId="96" fillId="36" borderId="44" xfId="4" applyFont="1" applyFill="1" applyBorder="1" applyAlignment="1">
      <alignment horizontal="center" vertical="center" wrapText="1"/>
    </xf>
    <xf numFmtId="0" fontId="96" fillId="36" borderId="9" xfId="4" applyFont="1" applyFill="1" applyBorder="1" applyAlignment="1">
      <alignment horizontal="center" vertical="center" wrapText="1"/>
    </xf>
    <xf numFmtId="0" fontId="59" fillId="41" borderId="1" xfId="4" applyFont="1" applyFill="1" applyBorder="1" applyAlignment="1">
      <alignment horizontal="center" vertical="center" wrapText="1"/>
    </xf>
    <xf numFmtId="0" fontId="93" fillId="25" borderId="1" xfId="4" applyFont="1" applyFill="1" applyBorder="1" applyAlignment="1">
      <alignment horizontal="center" vertical="center" wrapText="1"/>
    </xf>
    <xf numFmtId="0" fontId="105" fillId="2" borderId="1" xfId="4" applyFont="1" applyFill="1" applyBorder="1" applyAlignment="1">
      <alignment horizontal="center" vertical="center" wrapText="1"/>
    </xf>
    <xf numFmtId="0" fontId="102" fillId="25" borderId="1" xfId="4" applyFont="1" applyFill="1" applyBorder="1" applyAlignment="1">
      <alignment horizontal="center" vertical="center" wrapText="1"/>
    </xf>
    <xf numFmtId="0" fontId="106" fillId="0" borderId="0" xfId="4" applyFont="1" applyAlignment="1">
      <alignment horizontal="center" vertical="center" wrapText="1"/>
    </xf>
    <xf numFmtId="2" fontId="93" fillId="0" borderId="1" xfId="4" applyNumberFormat="1" applyFont="1" applyBorder="1" applyAlignment="1">
      <alignment horizontal="center" vertical="center" wrapText="1"/>
    </xf>
    <xf numFmtId="0" fontId="108" fillId="36" borderId="40" xfId="4" applyFont="1" applyFill="1" applyBorder="1" applyAlignment="1">
      <alignment horizontal="center" vertical="center" wrapText="1"/>
    </xf>
    <xf numFmtId="0" fontId="95" fillId="0" borderId="0" xfId="4" applyFont="1" applyAlignment="1">
      <alignment horizontal="center" vertical="center" wrapText="1"/>
    </xf>
    <xf numFmtId="0" fontId="108" fillId="0" borderId="0" xfId="4" applyFont="1" applyAlignment="1">
      <alignment horizontal="center" vertical="center" wrapText="1"/>
    </xf>
    <xf numFmtId="0" fontId="96" fillId="0" borderId="0" xfId="4" applyFont="1" applyAlignment="1">
      <alignment horizontal="center" vertical="center" wrapText="1"/>
    </xf>
    <xf numFmtId="164" fontId="96" fillId="0" borderId="0" xfId="4" applyNumberFormat="1" applyFont="1" applyAlignment="1">
      <alignment horizontal="center" vertical="center" wrapText="1"/>
    </xf>
    <xf numFmtId="0" fontId="102" fillId="0" borderId="0" xfId="4" applyFont="1" applyAlignment="1">
      <alignment horizontal="center" vertical="center" wrapText="1"/>
    </xf>
    <xf numFmtId="0" fontId="59" fillId="25" borderId="40" xfId="4" applyFont="1" applyFill="1" applyBorder="1" applyAlignment="1">
      <alignment horizontal="center" vertical="center" wrapText="1"/>
    </xf>
    <xf numFmtId="0" fontId="59" fillId="25" borderId="43" xfId="4" applyFont="1" applyFill="1" applyBorder="1" applyAlignment="1">
      <alignment horizontal="center" vertical="center" wrapText="1"/>
    </xf>
    <xf numFmtId="0" fontId="93" fillId="0" borderId="40" xfId="4" applyFont="1" applyBorder="1" applyAlignment="1">
      <alignment horizontal="center" vertical="center" wrapText="1"/>
    </xf>
    <xf numFmtId="164" fontId="93" fillId="0" borderId="43" xfId="4" applyNumberFormat="1" applyFont="1" applyBorder="1" applyAlignment="1">
      <alignment horizontal="center" vertical="center" wrapText="1"/>
    </xf>
    <xf numFmtId="0" fontId="93" fillId="0" borderId="41" xfId="4" applyFont="1" applyBorder="1" applyAlignment="1">
      <alignment horizontal="center" vertical="center" wrapText="1"/>
    </xf>
    <xf numFmtId="2" fontId="91" fillId="43" borderId="40" xfId="4" applyNumberFormat="1" applyFont="1" applyFill="1" applyBorder="1" applyAlignment="1">
      <alignment horizontal="center" vertical="center" wrapText="1"/>
    </xf>
    <xf numFmtId="2" fontId="89" fillId="36" borderId="40" xfId="4" applyNumberFormat="1" applyFont="1" applyFill="1" applyBorder="1" applyAlignment="1">
      <alignment horizontal="center" vertical="center" wrapText="1"/>
    </xf>
    <xf numFmtId="164" fontId="89" fillId="36" borderId="40" xfId="4" applyNumberFormat="1" applyFont="1" applyFill="1" applyBorder="1" applyAlignment="1">
      <alignment horizontal="center" vertical="center" wrapText="1"/>
    </xf>
    <xf numFmtId="2" fontId="92" fillId="36" borderId="40" xfId="4" applyNumberFormat="1" applyFont="1" applyFill="1" applyBorder="1" applyAlignment="1">
      <alignment horizontal="center" vertical="center" wrapText="1"/>
    </xf>
    <xf numFmtId="164" fontId="92" fillId="36" borderId="40" xfId="4" applyNumberFormat="1" applyFont="1" applyFill="1" applyBorder="1" applyAlignment="1">
      <alignment horizontal="center" vertical="center" wrapText="1"/>
    </xf>
    <xf numFmtId="0" fontId="75" fillId="39" borderId="40" xfId="4" applyFont="1" applyFill="1" applyBorder="1" applyAlignment="1">
      <alignment horizontal="center" vertical="center" wrapText="1"/>
    </xf>
    <xf numFmtId="0" fontId="75" fillId="44" borderId="40" xfId="4" applyFont="1" applyFill="1" applyBorder="1" applyAlignment="1">
      <alignment horizontal="center" vertical="center" wrapText="1"/>
    </xf>
    <xf numFmtId="164" fontId="90" fillId="38" borderId="40" xfId="4" applyNumberFormat="1" applyFont="1" applyFill="1" applyBorder="1" applyAlignment="1">
      <alignment horizontal="center" vertical="center" wrapText="1"/>
    </xf>
    <xf numFmtId="0" fontId="91" fillId="43" borderId="40" xfId="4" applyFont="1" applyFill="1" applyBorder="1" applyAlignment="1">
      <alignment horizontal="center" vertical="center" wrapText="1"/>
    </xf>
    <xf numFmtId="0" fontId="89" fillId="36" borderId="40" xfId="4" applyFont="1" applyFill="1" applyBorder="1" applyAlignment="1">
      <alignment horizontal="center" vertical="center" wrapText="1"/>
    </xf>
    <xf numFmtId="14" fontId="89" fillId="36" borderId="40" xfId="4" applyNumberFormat="1" applyFont="1" applyFill="1" applyBorder="1" applyAlignment="1">
      <alignment horizontal="center" vertical="center" wrapText="1"/>
    </xf>
    <xf numFmtId="14" fontId="89" fillId="36" borderId="41" xfId="4" applyNumberFormat="1" applyFont="1" applyFill="1" applyBorder="1" applyAlignment="1">
      <alignment horizontal="center" vertical="center" wrapText="1"/>
    </xf>
    <xf numFmtId="14" fontId="89" fillId="36" borderId="10" xfId="4" applyNumberFormat="1" applyFont="1" applyFill="1" applyBorder="1" applyAlignment="1">
      <alignment horizontal="center" vertical="center" wrapText="1"/>
    </xf>
    <xf numFmtId="0" fontId="77" fillId="44" borderId="40" xfId="4" applyFont="1" applyFill="1" applyBorder="1" applyAlignment="1">
      <alignment horizontal="center" vertical="center" wrapText="1"/>
    </xf>
    <xf numFmtId="14" fontId="90" fillId="38" borderId="40" xfId="4" applyNumberFormat="1" applyFont="1" applyFill="1" applyBorder="1" applyAlignment="1">
      <alignment horizontal="center" vertical="center" wrapText="1"/>
    </xf>
    <xf numFmtId="0" fontId="90" fillId="0" borderId="0" xfId="4" applyFont="1" applyAlignment="1">
      <alignment horizontal="center" vertical="center" wrapText="1"/>
    </xf>
    <xf numFmtId="0" fontId="92" fillId="36" borderId="40" xfId="4" applyFont="1" applyFill="1" applyBorder="1" applyAlignment="1">
      <alignment horizontal="center" vertical="center" wrapText="1"/>
    </xf>
    <xf numFmtId="0" fontId="92" fillId="36" borderId="41" xfId="4" applyFont="1" applyFill="1" applyBorder="1" applyAlignment="1">
      <alignment horizontal="center" vertical="center" wrapText="1"/>
    </xf>
    <xf numFmtId="0" fontId="92" fillId="36" borderId="10" xfId="4" applyFont="1" applyFill="1" applyBorder="1" applyAlignment="1">
      <alignment horizontal="center" vertical="center" wrapText="1"/>
    </xf>
    <xf numFmtId="0" fontId="1" fillId="0" borderId="0" xfId="0" applyFont="1"/>
    <xf numFmtId="0" fontId="91" fillId="0" borderId="0" xfId="4" applyFont="1" applyAlignment="1">
      <alignment horizontal="center" vertical="center" wrapText="1"/>
    </xf>
    <xf numFmtId="0" fontId="92" fillId="0" borderId="0" xfId="4" applyFont="1" applyAlignment="1">
      <alignment horizontal="center" vertical="center" wrapText="1"/>
    </xf>
    <xf numFmtId="14" fontId="89" fillId="0" borderId="0" xfId="4" applyNumberFormat="1" applyFont="1" applyAlignment="1">
      <alignment horizontal="center" vertical="center" wrapText="1"/>
    </xf>
    <xf numFmtId="0" fontId="89" fillId="0" borderId="0" xfId="4" applyFont="1" applyAlignment="1">
      <alignment horizontal="center" vertical="center" wrapText="1"/>
    </xf>
    <xf numFmtId="164" fontId="89" fillId="0" borderId="0" xfId="4" applyNumberFormat="1" applyFont="1" applyAlignment="1">
      <alignment horizontal="center" vertical="center" wrapText="1"/>
    </xf>
    <xf numFmtId="0" fontId="75" fillId="0" borderId="0" xfId="4" applyFont="1" applyAlignment="1">
      <alignment horizontal="center" vertical="center" wrapText="1"/>
    </xf>
    <xf numFmtId="0" fontId="77" fillId="0" borderId="0" xfId="4" applyFont="1" applyAlignment="1">
      <alignment horizontal="center" vertical="center" wrapText="1"/>
    </xf>
    <xf numFmtId="164" fontId="90" fillId="0" borderId="0" xfId="4" applyNumberFormat="1" applyFont="1" applyAlignment="1">
      <alignment horizontal="center" vertical="center" wrapText="1"/>
    </xf>
    <xf numFmtId="14" fontId="90" fillId="0" borderId="0" xfId="4" applyNumberFormat="1" applyFont="1" applyAlignment="1">
      <alignment horizontal="center" vertical="center" wrapText="1"/>
    </xf>
    <xf numFmtId="0" fontId="77" fillId="44" borderId="48" xfId="4" applyFont="1" applyFill="1" applyBorder="1" applyAlignment="1">
      <alignment horizontal="center" vertical="center" wrapText="1"/>
    </xf>
    <xf numFmtId="14" fontId="90" fillId="38" borderId="43" xfId="4" applyNumberFormat="1" applyFont="1" applyFill="1" applyBorder="1" applyAlignment="1">
      <alignment horizontal="center" vertical="center" wrapText="1"/>
    </xf>
    <xf numFmtId="0" fontId="111" fillId="0" borderId="1" xfId="0" applyFont="1" applyBorder="1"/>
    <xf numFmtId="0" fontId="0" fillId="0" borderId="0" xfId="0" applyAlignment="1">
      <alignment horizontal="center" vertical="center" wrapText="1"/>
    </xf>
    <xf numFmtId="0" fontId="114" fillId="39" borderId="40" xfId="6" applyFont="1" applyFill="1" applyBorder="1" applyAlignment="1">
      <alignment horizontal="center" vertical="center" wrapText="1"/>
    </xf>
    <xf numFmtId="0" fontId="117" fillId="0" borderId="0" xfId="3" applyFont="1" applyAlignment="1">
      <alignment horizontal="center"/>
    </xf>
    <xf numFmtId="0" fontId="117" fillId="0" borderId="49" xfId="3" applyFont="1" applyBorder="1" applyAlignment="1">
      <alignment horizontal="center"/>
    </xf>
    <xf numFmtId="0" fontId="119" fillId="0" borderId="8" xfId="3" applyFont="1" applyBorder="1" applyAlignment="1">
      <alignment horizontal="center"/>
    </xf>
    <xf numFmtId="0" fontId="119" fillId="24" borderId="51" xfId="2" applyFont="1" applyFill="1" applyBorder="1" applyAlignment="1">
      <alignment horizontal="center" vertical="center"/>
    </xf>
    <xf numFmtId="165" fontId="117" fillId="24" borderId="51" xfId="2" applyNumberFormat="1" applyFont="1" applyFill="1" applyBorder="1" applyAlignment="1">
      <alignment horizontal="center" vertical="center"/>
    </xf>
    <xf numFmtId="0" fontId="112" fillId="39" borderId="40" xfId="6" applyFont="1" applyFill="1" applyBorder="1" applyAlignment="1">
      <alignment horizontal="center" vertical="center" wrapText="1"/>
    </xf>
    <xf numFmtId="0" fontId="113" fillId="0" borderId="0" xfId="6" applyFont="1" applyAlignment="1">
      <alignment horizontal="center" vertical="center" wrapText="1"/>
    </xf>
    <xf numFmtId="0" fontId="114" fillId="0" borderId="40" xfId="6" applyFont="1" applyBorder="1" applyAlignment="1">
      <alignment horizontal="center" vertical="center" wrapText="1"/>
    </xf>
    <xf numFmtId="0" fontId="90" fillId="0" borderId="1" xfId="0" applyFont="1" applyBorder="1" applyAlignment="1">
      <alignment horizontal="center" vertical="center" wrapText="1"/>
    </xf>
    <xf numFmtId="14" fontId="115" fillId="45" borderId="40" xfId="6" applyNumberFormat="1" applyFont="1" applyFill="1" applyBorder="1" applyAlignment="1">
      <alignment horizontal="center" vertical="center" wrapText="1"/>
    </xf>
    <xf numFmtId="0" fontId="115" fillId="45" borderId="40" xfId="6" applyFont="1" applyFill="1" applyBorder="1" applyAlignment="1">
      <alignment horizontal="center" vertical="center" wrapText="1"/>
    </xf>
    <xf numFmtId="164" fontId="115" fillId="45" borderId="40" xfId="6" applyNumberFormat="1" applyFont="1" applyFill="1" applyBorder="1" applyAlignment="1">
      <alignment horizontal="center" vertical="center" wrapText="1"/>
    </xf>
    <xf numFmtId="0" fontId="115" fillId="0" borderId="40" xfId="6" applyFont="1" applyBorder="1" applyAlignment="1">
      <alignment horizontal="center" vertical="center" wrapText="1"/>
    </xf>
    <xf numFmtId="0" fontId="114" fillId="45" borderId="40" xfId="6" applyFont="1" applyFill="1" applyBorder="1" applyAlignment="1">
      <alignment horizontal="center" vertical="center" wrapText="1"/>
    </xf>
    <xf numFmtId="0" fontId="115" fillId="0" borderId="0" xfId="6" applyFont="1" applyAlignment="1">
      <alignment horizontal="center" vertical="center" wrapText="1"/>
    </xf>
    <xf numFmtId="0" fontId="120" fillId="45" borderId="40" xfId="6" applyFont="1" applyFill="1" applyBorder="1" applyAlignment="1">
      <alignment horizontal="center" vertical="center" wrapText="1"/>
    </xf>
    <xf numFmtId="0" fontId="114" fillId="46" borderId="40" xfId="6" applyFont="1" applyFill="1" applyBorder="1" applyAlignment="1">
      <alignment horizontal="center" vertical="center" wrapText="1"/>
    </xf>
    <xf numFmtId="0" fontId="116" fillId="47" borderId="40" xfId="6" applyFont="1" applyFill="1" applyBorder="1" applyAlignment="1">
      <alignment horizontal="center" vertical="center" wrapText="1"/>
    </xf>
    <xf numFmtId="14" fontId="115" fillId="0" borderId="40" xfId="6" applyNumberFormat="1" applyFont="1" applyBorder="1" applyAlignment="1">
      <alignment horizontal="center" vertical="center" wrapText="1"/>
    </xf>
    <xf numFmtId="164" fontId="115" fillId="0" borderId="40" xfId="6" applyNumberFormat="1" applyFont="1" applyBorder="1" applyAlignment="1">
      <alignment horizontal="center" vertical="center" wrapText="1"/>
    </xf>
    <xf numFmtId="0" fontId="121" fillId="0" borderId="1" xfId="6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17" fillId="0" borderId="50" xfId="3" applyFont="1" applyBorder="1" applyAlignment="1">
      <alignment horizontal="center"/>
    </xf>
    <xf numFmtId="0" fontId="122" fillId="8" borderId="51" xfId="2" applyFont="1" applyFill="1" applyBorder="1" applyAlignment="1">
      <alignment horizontal="center" vertical="center"/>
    </xf>
    <xf numFmtId="0" fontId="122" fillId="8" borderId="5" xfId="2" applyFont="1" applyFill="1" applyBorder="1" applyAlignment="1">
      <alignment horizontal="center" vertical="center"/>
    </xf>
    <xf numFmtId="0" fontId="123" fillId="24" borderId="51" xfId="2" applyFont="1" applyFill="1" applyBorder="1" applyAlignment="1">
      <alignment horizontal="center" vertical="center"/>
    </xf>
    <xf numFmtId="165" fontId="20" fillId="24" borderId="51" xfId="2" applyNumberFormat="1" applyFont="1" applyFill="1" applyBorder="1" applyAlignment="1">
      <alignment horizontal="center" vertical="center"/>
    </xf>
    <xf numFmtId="14" fontId="20" fillId="24" borderId="51" xfId="2" applyNumberFormat="1" applyFont="1" applyFill="1" applyBorder="1" applyAlignment="1">
      <alignment horizontal="center" vertical="center"/>
    </xf>
    <xf numFmtId="0" fontId="20" fillId="24" borderId="5" xfId="2" applyFont="1" applyFill="1" applyBorder="1" applyAlignment="1">
      <alignment horizontal="center" vertical="center"/>
    </xf>
    <xf numFmtId="14" fontId="20" fillId="24" borderId="55" xfId="2" applyNumberFormat="1" applyFont="1" applyFill="1" applyBorder="1" applyAlignment="1">
      <alignment horizontal="center" vertical="center"/>
    </xf>
    <xf numFmtId="0" fontId="20" fillId="24" borderId="56" xfId="2" applyFont="1" applyFill="1" applyBorder="1" applyAlignment="1">
      <alignment horizontal="center" vertical="center"/>
    </xf>
    <xf numFmtId="0" fontId="123" fillId="24" borderId="7" xfId="2" applyFont="1" applyFill="1" applyBorder="1" applyAlignment="1">
      <alignment horizontal="center" vertical="center"/>
    </xf>
    <xf numFmtId="165" fontId="20" fillId="24" borderId="7" xfId="2" applyNumberFormat="1" applyFont="1" applyFill="1" applyBorder="1" applyAlignment="1">
      <alignment horizontal="center" vertical="center"/>
    </xf>
    <xf numFmtId="14" fontId="20" fillId="24" borderId="53" xfId="2" applyNumberFormat="1" applyFont="1" applyFill="1" applyBorder="1" applyAlignment="1">
      <alignment horizontal="center" vertical="center"/>
    </xf>
    <xf numFmtId="0" fontId="20" fillId="24" borderId="10" xfId="2" applyFont="1" applyFill="1" applyBorder="1" applyAlignment="1">
      <alignment horizontal="center" vertical="center"/>
    </xf>
    <xf numFmtId="0" fontId="117" fillId="0" borderId="1" xfId="3" applyFont="1" applyBorder="1" applyAlignment="1">
      <alignment horizontal="center"/>
    </xf>
    <xf numFmtId="0" fontId="0" fillId="0" borderId="57" xfId="0" applyBorder="1"/>
    <xf numFmtId="0" fontId="117" fillId="0" borderId="58" xfId="3" applyFont="1" applyBorder="1" applyAlignment="1">
      <alignment horizontal="center"/>
    </xf>
    <xf numFmtId="0" fontId="117" fillId="0" borderId="59" xfId="3" applyFont="1" applyBorder="1" applyAlignment="1">
      <alignment horizontal="center"/>
    </xf>
    <xf numFmtId="0" fontId="117" fillId="0" borderId="60" xfId="3" applyFont="1" applyBorder="1" applyAlignment="1">
      <alignment horizontal="center"/>
    </xf>
    <xf numFmtId="0" fontId="117" fillId="0" borderId="52" xfId="3" applyFont="1" applyBorder="1" applyAlignment="1">
      <alignment horizontal="center"/>
    </xf>
    <xf numFmtId="0" fontId="117" fillId="0" borderId="61" xfId="3" applyFont="1" applyBorder="1" applyAlignment="1">
      <alignment horizontal="center"/>
    </xf>
    <xf numFmtId="0" fontId="117" fillId="0" borderId="6" xfId="3" applyFont="1" applyBorder="1" applyAlignment="1">
      <alignment horizontal="center"/>
    </xf>
    <xf numFmtId="0" fontId="117" fillId="0" borderId="62" xfId="3" applyFont="1" applyBorder="1" applyAlignment="1">
      <alignment horizontal="center"/>
    </xf>
    <xf numFmtId="0" fontId="117" fillId="0" borderId="64" xfId="3" applyFont="1" applyBorder="1" applyAlignment="1">
      <alignment horizontal="center"/>
    </xf>
    <xf numFmtId="0" fontId="0" fillId="0" borderId="63" xfId="0" applyBorder="1"/>
    <xf numFmtId="0" fontId="122" fillId="0" borderId="0" xfId="2" applyFont="1" applyAlignment="1">
      <alignment horizontal="center" vertical="center"/>
    </xf>
    <xf numFmtId="0" fontId="123" fillId="0" borderId="0" xfId="2" applyFont="1" applyAlignment="1">
      <alignment horizontal="center" vertical="center"/>
    </xf>
    <xf numFmtId="165" fontId="20" fillId="0" borderId="0" xfId="2" applyNumberFormat="1" applyFont="1" applyAlignment="1">
      <alignment horizontal="center" vertical="center"/>
    </xf>
    <xf numFmtId="14" fontId="20" fillId="0" borderId="0" xfId="2" applyNumberFormat="1" applyFont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124" fillId="38" borderId="0" xfId="5" applyFont="1" applyFill="1" applyAlignment="1">
      <alignment horizontal="center" vertical="center"/>
    </xf>
    <xf numFmtId="164" fontId="124" fillId="38" borderId="0" xfId="5" applyNumberFormat="1" applyFont="1" applyFill="1" applyAlignment="1">
      <alignment horizontal="center" vertical="center"/>
    </xf>
    <xf numFmtId="0" fontId="81" fillId="38" borderId="0" xfId="5" applyFont="1" applyFill="1" applyAlignment="1">
      <alignment horizontal="center" vertical="center"/>
    </xf>
    <xf numFmtId="0" fontId="77" fillId="39" borderId="1" xfId="5" applyFont="1" applyFill="1" applyBorder="1" applyAlignment="1">
      <alignment horizontal="center" vertical="center"/>
    </xf>
    <xf numFmtId="164" fontId="81" fillId="38" borderId="1" xfId="5" applyNumberFormat="1" applyFont="1" applyFill="1" applyBorder="1" applyAlignment="1">
      <alignment horizontal="center" vertical="center"/>
    </xf>
    <xf numFmtId="0" fontId="81" fillId="38" borderId="1" xfId="5" applyFont="1" applyFill="1" applyBorder="1" applyAlignment="1">
      <alignment horizontal="center" vertical="center"/>
    </xf>
    <xf numFmtId="0" fontId="77" fillId="0" borderId="30" xfId="5" applyFont="1" applyBorder="1" applyAlignment="1">
      <alignment horizontal="center" vertical="center"/>
    </xf>
    <xf numFmtId="0" fontId="77" fillId="0" borderId="6" xfId="5" applyFont="1" applyBorder="1" applyAlignment="1">
      <alignment horizontal="center" vertical="center"/>
    </xf>
    <xf numFmtId="0" fontId="77" fillId="0" borderId="65" xfId="5" applyFont="1" applyBorder="1" applyAlignment="1">
      <alignment horizontal="center" vertical="center"/>
    </xf>
    <xf numFmtId="14" fontId="125" fillId="0" borderId="4" xfId="5" applyNumberFormat="1" applyFont="1" applyBorder="1" applyAlignment="1">
      <alignment horizontal="center" vertical="center"/>
    </xf>
    <xf numFmtId="0" fontId="81" fillId="0" borderId="1" xfId="5" applyFont="1" applyBorder="1" applyAlignment="1">
      <alignment horizontal="center" vertical="center"/>
    </xf>
    <xf numFmtId="164" fontId="81" fillId="0" borderId="1" xfId="5" applyNumberFormat="1" applyFont="1" applyBorder="1" applyAlignment="1">
      <alignment horizontal="center" vertical="center"/>
    </xf>
    <xf numFmtId="164" fontId="81" fillId="0" borderId="7" xfId="5" applyNumberFormat="1" applyFont="1" applyBorder="1" applyAlignment="1">
      <alignment horizontal="center" vertical="center"/>
    </xf>
    <xf numFmtId="14" fontId="125" fillId="0" borderId="46" xfId="5" applyNumberFormat="1" applyFont="1" applyBorder="1" applyAlignment="1">
      <alignment horizontal="center" vertical="center"/>
    </xf>
    <xf numFmtId="0" fontId="81" fillId="0" borderId="5" xfId="5" applyFont="1" applyBorder="1" applyAlignment="1">
      <alignment horizontal="center" vertical="center"/>
    </xf>
    <xf numFmtId="164" fontId="81" fillId="0" borderId="5" xfId="5" applyNumberFormat="1" applyFont="1" applyBorder="1" applyAlignment="1">
      <alignment horizontal="center" vertical="center"/>
    </xf>
    <xf numFmtId="164" fontId="81" fillId="0" borderId="51" xfId="5" applyNumberFormat="1" applyFont="1" applyBorder="1" applyAlignment="1">
      <alignment horizontal="center" vertical="center"/>
    </xf>
    <xf numFmtId="0" fontId="129" fillId="48" borderId="43" xfId="7" applyFont="1" applyFill="1" applyBorder="1" applyAlignment="1">
      <alignment horizontal="center" vertical="center"/>
    </xf>
    <xf numFmtId="0" fontId="0" fillId="0" borderId="69" xfId="0" applyBorder="1"/>
    <xf numFmtId="0" fontId="128" fillId="0" borderId="0" xfId="7" applyFont="1" applyAlignment="1">
      <alignment horizontal="left" vertical="center"/>
    </xf>
    <xf numFmtId="0" fontId="129" fillId="48" borderId="40" xfId="7" applyFont="1" applyFill="1" applyBorder="1" applyAlignment="1">
      <alignment horizontal="center" vertical="center"/>
    </xf>
    <xf numFmtId="0" fontId="15" fillId="0" borderId="40" xfId="7" applyFont="1" applyBorder="1" applyAlignment="1">
      <alignment horizontal="left" vertical="center"/>
    </xf>
    <xf numFmtId="0" fontId="129" fillId="48" borderId="40" xfId="7" applyFont="1" applyFill="1" applyBorder="1" applyAlignment="1">
      <alignment horizontal="left" vertical="center"/>
    </xf>
    <xf numFmtId="0" fontId="128" fillId="0" borderId="0" xfId="7" applyFont="1" applyAlignment="1">
      <alignment horizontal="center" vertical="center"/>
    </xf>
    <xf numFmtId="0" fontId="130" fillId="39" borderId="40" xfId="7" applyFont="1" applyFill="1" applyBorder="1" applyAlignment="1">
      <alignment horizontal="center" vertical="center"/>
    </xf>
    <xf numFmtId="0" fontId="130" fillId="39" borderId="40" xfId="7" applyFont="1" applyFill="1" applyBorder="1" applyAlignment="1">
      <alignment horizontal="left" vertical="center"/>
    </xf>
    <xf numFmtId="0" fontId="126" fillId="0" borderId="0" xfId="7" applyFont="1" applyAlignment="1">
      <alignment horizontal="center" vertical="center"/>
    </xf>
    <xf numFmtId="0" fontId="15" fillId="0" borderId="40" xfId="7" applyFont="1" applyBorder="1" applyAlignment="1">
      <alignment horizontal="center" vertical="center"/>
    </xf>
    <xf numFmtId="1" fontId="15" fillId="0" borderId="40" xfId="7" applyNumberFormat="1" applyFont="1" applyBorder="1" applyAlignment="1">
      <alignment horizontal="center" vertical="center"/>
    </xf>
    <xf numFmtId="1" fontId="15" fillId="0" borderId="41" xfId="7" applyNumberFormat="1" applyFont="1" applyBorder="1" applyAlignment="1">
      <alignment horizontal="center" vertical="center"/>
    </xf>
    <xf numFmtId="1" fontId="15" fillId="0" borderId="1" xfId="7" applyNumberFormat="1" applyFont="1" applyBorder="1" applyAlignment="1">
      <alignment horizontal="center" vertical="center"/>
    </xf>
    <xf numFmtId="0" fontId="131" fillId="0" borderId="40" xfId="7" applyFont="1" applyBorder="1" applyAlignment="1">
      <alignment horizontal="center" vertical="center"/>
    </xf>
    <xf numFmtId="0" fontId="136" fillId="53" borderId="66" xfId="0" applyFont="1" applyFill="1" applyBorder="1" applyAlignment="1">
      <alignment horizontal="left"/>
    </xf>
    <xf numFmtId="0" fontId="136" fillId="53" borderId="68" xfId="0" applyFont="1" applyFill="1" applyBorder="1" applyAlignment="1">
      <alignment horizontal="left"/>
    </xf>
    <xf numFmtId="0" fontId="0" fillId="0" borderId="39" xfId="0" applyBorder="1"/>
    <xf numFmtId="0" fontId="137" fillId="54" borderId="0" xfId="0" applyFont="1" applyFill="1" applyAlignment="1">
      <alignment horizontal="left"/>
    </xf>
    <xf numFmtId="0" fontId="138" fillId="54" borderId="39" xfId="0" applyFont="1" applyFill="1" applyBorder="1" applyAlignment="1">
      <alignment horizontal="left"/>
    </xf>
    <xf numFmtId="0" fontId="137" fillId="54" borderId="69" xfId="0" applyFont="1" applyFill="1" applyBorder="1" applyAlignment="1">
      <alignment horizontal="left"/>
    </xf>
    <xf numFmtId="0" fontId="139" fillId="53" borderId="68" xfId="0" applyFont="1" applyFill="1" applyBorder="1" applyAlignment="1">
      <alignment horizontal="right"/>
    </xf>
    <xf numFmtId="0" fontId="139" fillId="53" borderId="66" xfId="0" applyFont="1" applyFill="1" applyBorder="1" applyAlignment="1">
      <alignment horizontal="right"/>
    </xf>
    <xf numFmtId="0" fontId="0" fillId="55" borderId="0" xfId="0" applyFill="1"/>
    <xf numFmtId="0" fontId="140" fillId="0" borderId="0" xfId="0" applyFont="1" applyAlignment="1">
      <alignment vertical="top" wrapText="1"/>
    </xf>
    <xf numFmtId="0" fontId="129" fillId="0" borderId="40" xfId="7" applyFont="1" applyBorder="1" applyAlignment="1">
      <alignment horizontal="left" vertical="center"/>
    </xf>
    <xf numFmtId="1" fontId="129" fillId="0" borderId="40" xfId="7" applyNumberFormat="1" applyFont="1" applyBorder="1" applyAlignment="1">
      <alignment horizontal="center" vertical="center"/>
    </xf>
    <xf numFmtId="0" fontId="129" fillId="48" borderId="0" xfId="7" applyFont="1" applyFill="1" applyAlignment="1">
      <alignment horizontal="center" vertical="center"/>
    </xf>
    <xf numFmtId="0" fontId="129" fillId="48" borderId="40" xfId="7" applyFont="1" applyFill="1" applyBorder="1" applyAlignment="1">
      <alignment horizontal="center" vertical="center" wrapText="1"/>
    </xf>
    <xf numFmtId="0" fontId="15" fillId="0" borderId="40" xfId="7" applyFont="1" applyBorder="1" applyAlignment="1">
      <alignment horizontal="left" vertical="center" wrapText="1"/>
    </xf>
    <xf numFmtId="0" fontId="129" fillId="21" borderId="40" xfId="7" applyFont="1" applyFill="1" applyBorder="1" applyAlignment="1">
      <alignment horizontal="left" vertical="center" wrapText="1"/>
    </xf>
    <xf numFmtId="0" fontId="129" fillId="48" borderId="40" xfId="7" applyFont="1" applyFill="1" applyBorder="1" applyAlignment="1">
      <alignment horizontal="left" vertical="center" wrapText="1"/>
    </xf>
    <xf numFmtId="0" fontId="132" fillId="49" borderId="40" xfId="7" applyFont="1" applyFill="1" applyBorder="1" applyAlignment="1">
      <alignment horizontal="center" vertical="center" wrapText="1"/>
    </xf>
    <xf numFmtId="0" fontId="133" fillId="21" borderId="40" xfId="7" applyFont="1" applyFill="1" applyBorder="1" applyAlignment="1">
      <alignment horizontal="center" vertical="center" wrapText="1"/>
    </xf>
    <xf numFmtId="0" fontId="133" fillId="50" borderId="40" xfId="7" applyFont="1" applyFill="1" applyBorder="1" applyAlignment="1">
      <alignment horizontal="center" vertical="center" wrapText="1"/>
    </xf>
    <xf numFmtId="0" fontId="133" fillId="0" borderId="40" xfId="7" applyFont="1" applyBorder="1" applyAlignment="1">
      <alignment horizontal="center" vertical="center" wrapText="1"/>
    </xf>
    <xf numFmtId="0" fontId="86" fillId="0" borderId="0" xfId="7" applyFont="1" applyAlignment="1">
      <alignment horizontal="center" vertical="center" wrapText="1"/>
    </xf>
    <xf numFmtId="0" fontId="134" fillId="51" borderId="40" xfId="7" applyFont="1" applyFill="1" applyBorder="1" applyAlignment="1">
      <alignment horizontal="center" vertical="center" wrapText="1"/>
    </xf>
    <xf numFmtId="0" fontId="134" fillId="52" borderId="1" xfId="7" applyFont="1" applyFill="1" applyBorder="1" applyAlignment="1">
      <alignment horizontal="center" vertical="center" wrapText="1"/>
    </xf>
    <xf numFmtId="0" fontId="87" fillId="20" borderId="1" xfId="7" applyFont="1" applyFill="1" applyBorder="1" applyAlignment="1">
      <alignment horizontal="center" vertical="center" wrapText="1"/>
    </xf>
    <xf numFmtId="0" fontId="87" fillId="0" borderId="1" xfId="7" applyFont="1" applyBorder="1" applyAlignment="1">
      <alignment horizontal="center" vertical="center" wrapText="1"/>
    </xf>
    <xf numFmtId="0" fontId="127" fillId="51" borderId="40" xfId="7" applyFont="1" applyFill="1" applyBorder="1" applyAlignment="1">
      <alignment horizontal="center" vertical="center" wrapText="1"/>
    </xf>
    <xf numFmtId="0" fontId="87" fillId="39" borderId="40" xfId="7" applyFont="1" applyFill="1" applyBorder="1" applyAlignment="1">
      <alignment horizontal="center" vertical="center" wrapText="1"/>
    </xf>
    <xf numFmtId="0" fontId="87" fillId="51" borderId="67" xfId="7" applyFont="1" applyFill="1" applyBorder="1" applyAlignment="1">
      <alignment horizontal="center" vertical="center" wrapText="1"/>
    </xf>
    <xf numFmtId="0" fontId="87" fillId="51" borderId="42" xfId="7" applyFont="1" applyFill="1" applyBorder="1" applyAlignment="1">
      <alignment horizontal="center" vertical="center" wrapText="1"/>
    </xf>
    <xf numFmtId="0" fontId="87" fillId="0" borderId="40" xfId="7" applyFont="1" applyBorder="1" applyAlignment="1">
      <alignment horizontal="center" vertical="center" wrapText="1"/>
    </xf>
    <xf numFmtId="0" fontId="129" fillId="48" borderId="43" xfId="7" applyFont="1" applyFill="1" applyBorder="1" applyAlignment="1">
      <alignment horizontal="center" vertical="center" wrapText="1"/>
    </xf>
    <xf numFmtId="0" fontId="129" fillId="48" borderId="42" xfId="7" applyFont="1" applyFill="1" applyBorder="1" applyAlignment="1">
      <alignment horizontal="center" vertical="center" wrapText="1"/>
    </xf>
    <xf numFmtId="0" fontId="87" fillId="39" borderId="43" xfId="7" applyFont="1" applyFill="1" applyBorder="1" applyAlignment="1">
      <alignment horizontal="center" vertical="center" wrapText="1"/>
    </xf>
    <xf numFmtId="0" fontId="135" fillId="0" borderId="47" xfId="7" applyFont="1" applyBorder="1" applyAlignment="1">
      <alignment wrapText="1"/>
    </xf>
    <xf numFmtId="0" fontId="135" fillId="0" borderId="42" xfId="7" applyFont="1" applyBorder="1" applyAlignment="1">
      <alignment wrapText="1"/>
    </xf>
    <xf numFmtId="0" fontId="87" fillId="39" borderId="41" xfId="7" applyFont="1" applyFill="1" applyBorder="1" applyAlignment="1">
      <alignment horizontal="center" vertical="center" wrapText="1"/>
    </xf>
    <xf numFmtId="0" fontId="87" fillId="39" borderId="48" xfId="7" applyFont="1" applyFill="1" applyBorder="1" applyAlignment="1">
      <alignment horizontal="center" vertical="center" wrapText="1"/>
    </xf>
    <xf numFmtId="0" fontId="87" fillId="39" borderId="67" xfId="7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horizontal="center"/>
    </xf>
    <xf numFmtId="0" fontId="12" fillId="15" borderId="0" xfId="0" applyFont="1" applyFill="1" applyAlignment="1">
      <alignment horizontal="center" vertical="center"/>
    </xf>
    <xf numFmtId="0" fontId="13" fillId="17" borderId="0" xfId="0" applyFont="1" applyFill="1" applyAlignment="1">
      <alignment horizontal="center" wrapText="1"/>
    </xf>
    <xf numFmtId="0" fontId="0" fillId="17" borderId="0" xfId="0" applyFill="1" applyAlignment="1">
      <alignment horizontal="center" wrapText="1"/>
    </xf>
    <xf numFmtId="0" fontId="10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1" fillId="18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8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4" fillId="23" borderId="3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0" fontId="47" fillId="7" borderId="33" xfId="0" applyFont="1" applyFill="1" applyBorder="1" applyAlignment="1">
      <alignment horizontal="center" vertical="center" wrapText="1"/>
    </xf>
    <xf numFmtId="0" fontId="47" fillId="7" borderId="3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5" fillId="27" borderId="21" xfId="0" applyFont="1" applyFill="1" applyBorder="1" applyAlignment="1">
      <alignment horizontal="center" vertical="center" wrapText="1"/>
    </xf>
    <xf numFmtId="0" fontId="35" fillId="27" borderId="22" xfId="0" applyFont="1" applyFill="1" applyBorder="1" applyAlignment="1">
      <alignment horizontal="center" vertical="center" wrapText="1"/>
    </xf>
    <xf numFmtId="0" fontId="35" fillId="27" borderId="23" xfId="0" applyFont="1" applyFill="1" applyBorder="1" applyAlignment="1">
      <alignment horizontal="center" vertical="center" wrapText="1"/>
    </xf>
    <xf numFmtId="0" fontId="38" fillId="28" borderId="21" xfId="0" applyFont="1" applyFill="1" applyBorder="1" applyAlignment="1">
      <alignment horizontal="center" vertical="center" wrapText="1"/>
    </xf>
    <xf numFmtId="0" fontId="38" fillId="28" borderId="22" xfId="0" applyFont="1" applyFill="1" applyBorder="1" applyAlignment="1">
      <alignment horizontal="center" vertical="center" wrapText="1"/>
    </xf>
    <xf numFmtId="0" fontId="38" fillId="28" borderId="23" xfId="0" applyFont="1" applyFill="1" applyBorder="1" applyAlignment="1">
      <alignment horizontal="center" vertical="center" wrapText="1"/>
    </xf>
    <xf numFmtId="0" fontId="48" fillId="2" borderId="27" xfId="0" applyFont="1" applyFill="1" applyBorder="1" applyAlignment="1">
      <alignment horizontal="center" vertical="center" wrapText="1"/>
    </xf>
    <xf numFmtId="0" fontId="48" fillId="2" borderId="28" xfId="0" applyFont="1" applyFill="1" applyBorder="1" applyAlignment="1">
      <alignment horizontal="center" vertical="center" wrapText="1"/>
    </xf>
    <xf numFmtId="0" fontId="48" fillId="2" borderId="21" xfId="0" applyFont="1" applyFill="1" applyBorder="1" applyAlignment="1">
      <alignment horizontal="center" vertical="center" wrapText="1"/>
    </xf>
    <xf numFmtId="0" fontId="48" fillId="2" borderId="23" xfId="0" applyFont="1" applyFill="1" applyBorder="1" applyAlignment="1">
      <alignment horizontal="center" vertical="center" wrapText="1"/>
    </xf>
    <xf numFmtId="0" fontId="41" fillId="9" borderId="21" xfId="0" applyFont="1" applyFill="1" applyBorder="1" applyAlignment="1">
      <alignment horizontal="center" vertical="center" wrapText="1"/>
    </xf>
    <xf numFmtId="0" fontId="41" fillId="9" borderId="22" xfId="0" applyFont="1" applyFill="1" applyBorder="1" applyAlignment="1">
      <alignment horizontal="center" vertical="center" wrapText="1"/>
    </xf>
    <xf numFmtId="0" fontId="41" fillId="9" borderId="29" xfId="0" applyFont="1" applyFill="1" applyBorder="1" applyAlignment="1">
      <alignment horizontal="center" vertical="center" wrapText="1"/>
    </xf>
    <xf numFmtId="0" fontId="35" fillId="2" borderId="21" xfId="0" applyFont="1" applyFill="1" applyBorder="1" applyAlignment="1">
      <alignment horizontal="center" vertical="center" wrapText="1"/>
    </xf>
    <xf numFmtId="0" fontId="35" fillId="2" borderId="22" xfId="0" applyFont="1" applyFill="1" applyBorder="1" applyAlignment="1">
      <alignment horizontal="center" vertical="center" wrapText="1"/>
    </xf>
    <xf numFmtId="0" fontId="35" fillId="2" borderId="23" xfId="0" applyFont="1" applyFill="1" applyBorder="1" applyAlignment="1">
      <alignment horizontal="center" vertical="center" wrapText="1"/>
    </xf>
    <xf numFmtId="0" fontId="35" fillId="26" borderId="24" xfId="0" applyFont="1" applyFill="1" applyBorder="1" applyAlignment="1">
      <alignment horizontal="center" vertical="center" wrapText="1"/>
    </xf>
    <xf numFmtId="0" fontId="35" fillId="26" borderId="25" xfId="0" applyFont="1" applyFill="1" applyBorder="1" applyAlignment="1">
      <alignment horizontal="center" vertical="center" wrapText="1"/>
    </xf>
    <xf numFmtId="0" fontId="35" fillId="26" borderId="26" xfId="0" applyFont="1" applyFill="1" applyBorder="1" applyAlignment="1">
      <alignment horizontal="center" vertical="center" wrapText="1"/>
    </xf>
    <xf numFmtId="0" fontId="40" fillId="0" borderId="21" xfId="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0" fontId="40" fillId="0" borderId="23" xfId="0" applyFont="1" applyBorder="1" applyAlignment="1">
      <alignment horizontal="center" vertical="center" wrapText="1"/>
    </xf>
    <xf numFmtId="0" fontId="35" fillId="2" borderId="35" xfId="0" applyFont="1" applyFill="1" applyBorder="1" applyAlignment="1">
      <alignment horizontal="center" vertical="center" wrapText="1"/>
    </xf>
    <xf numFmtId="0" fontId="35" fillId="2" borderId="36" xfId="0" applyFont="1" applyFill="1" applyBorder="1" applyAlignment="1">
      <alignment horizontal="center" vertical="center" wrapText="1"/>
    </xf>
    <xf numFmtId="0" fontId="35" fillId="2" borderId="37" xfId="0" applyFont="1" applyFill="1" applyBorder="1" applyAlignment="1">
      <alignment horizontal="center" vertical="center" wrapText="1"/>
    </xf>
    <xf numFmtId="0" fontId="51" fillId="28" borderId="21" xfId="0" applyFont="1" applyFill="1" applyBorder="1" applyAlignment="1">
      <alignment horizontal="center" vertical="center" wrapText="1"/>
    </xf>
    <xf numFmtId="0" fontId="51" fillId="28" borderId="22" xfId="0" applyFont="1" applyFill="1" applyBorder="1" applyAlignment="1">
      <alignment horizontal="center" vertical="center" wrapText="1"/>
    </xf>
    <xf numFmtId="0" fontId="51" fillId="28" borderId="23" xfId="0" applyFont="1" applyFill="1" applyBorder="1" applyAlignment="1">
      <alignment horizontal="center" vertical="center" wrapText="1"/>
    </xf>
    <xf numFmtId="0" fontId="52" fillId="2" borderId="21" xfId="0" applyFont="1" applyFill="1" applyBorder="1" applyAlignment="1">
      <alignment horizontal="center" vertical="center" wrapText="1"/>
    </xf>
    <xf numFmtId="0" fontId="52" fillId="2" borderId="22" xfId="0" applyFont="1" applyFill="1" applyBorder="1" applyAlignment="1">
      <alignment horizontal="center" vertical="center" wrapText="1"/>
    </xf>
    <xf numFmtId="0" fontId="52" fillId="2" borderId="23" xfId="0" applyFont="1" applyFill="1" applyBorder="1" applyAlignment="1">
      <alignment horizontal="center" vertical="center" wrapText="1"/>
    </xf>
    <xf numFmtId="0" fontId="52" fillId="28" borderId="21" xfId="0" applyFont="1" applyFill="1" applyBorder="1" applyAlignment="1">
      <alignment horizontal="center" vertical="center" wrapText="1"/>
    </xf>
    <xf numFmtId="0" fontId="52" fillId="28" borderId="22" xfId="0" applyFont="1" applyFill="1" applyBorder="1" applyAlignment="1">
      <alignment horizontal="center" vertical="center" wrapText="1"/>
    </xf>
    <xf numFmtId="0" fontId="52" fillId="28" borderId="23" xfId="0" applyFont="1" applyFill="1" applyBorder="1" applyAlignment="1">
      <alignment horizontal="center" vertical="center" wrapText="1"/>
    </xf>
    <xf numFmtId="0" fontId="49" fillId="27" borderId="21" xfId="0" applyFont="1" applyFill="1" applyBorder="1" applyAlignment="1">
      <alignment horizontal="center" vertical="center" wrapText="1"/>
    </xf>
    <xf numFmtId="0" fontId="49" fillId="27" borderId="22" xfId="0" applyFont="1" applyFill="1" applyBorder="1" applyAlignment="1">
      <alignment horizontal="center" vertical="center" wrapText="1"/>
    </xf>
    <xf numFmtId="0" fontId="49" fillId="27" borderId="23" xfId="0" applyFont="1" applyFill="1" applyBorder="1" applyAlignment="1">
      <alignment horizontal="center" vertical="center" wrapText="1"/>
    </xf>
    <xf numFmtId="0" fontId="49" fillId="28" borderId="21" xfId="0" applyFont="1" applyFill="1" applyBorder="1" applyAlignment="1">
      <alignment horizontal="center" vertical="center" wrapText="1"/>
    </xf>
    <xf numFmtId="0" fontId="49" fillId="28" borderId="22" xfId="0" applyFont="1" applyFill="1" applyBorder="1" applyAlignment="1">
      <alignment horizontal="center" vertical="center" wrapText="1"/>
    </xf>
    <xf numFmtId="0" fontId="49" fillId="28" borderId="23" xfId="0" applyFont="1" applyFill="1" applyBorder="1" applyAlignment="1">
      <alignment horizontal="center" vertical="center" wrapText="1"/>
    </xf>
    <xf numFmtId="0" fontId="42" fillId="0" borderId="24" xfId="0" applyFont="1" applyBorder="1" applyAlignment="1">
      <alignment horizontal="center" vertical="center" wrapText="1"/>
    </xf>
    <xf numFmtId="0" fontId="42" fillId="0" borderId="26" xfId="0" applyFont="1" applyBorder="1" applyAlignment="1">
      <alignment horizontal="center" vertical="center" wrapText="1"/>
    </xf>
    <xf numFmtId="0" fontId="75" fillId="2" borderId="1" xfId="3" applyFont="1" applyFill="1" applyBorder="1" applyAlignment="1">
      <alignment horizontal="center" vertical="center" wrapText="1"/>
    </xf>
    <xf numFmtId="0" fontId="76" fillId="22" borderId="5" xfId="3" applyFont="1" applyFill="1" applyBorder="1" applyAlignment="1">
      <alignment horizontal="center" vertical="center" wrapText="1"/>
    </xf>
    <xf numFmtId="0" fontId="76" fillId="22" borderId="32" xfId="3" applyFont="1" applyFill="1" applyBorder="1" applyAlignment="1">
      <alignment horizontal="center" vertical="center" wrapText="1"/>
    </xf>
    <xf numFmtId="0" fontId="77" fillId="8" borderId="1" xfId="3" applyFont="1" applyFill="1" applyBorder="1" applyAlignment="1">
      <alignment horizontal="center" vertical="center" wrapText="1"/>
    </xf>
    <xf numFmtId="0" fontId="77" fillId="33" borderId="1" xfId="3" applyFont="1" applyFill="1" applyBorder="1" applyAlignment="1">
      <alignment horizontal="center" vertical="center" wrapText="1"/>
    </xf>
    <xf numFmtId="0" fontId="77" fillId="16" borderId="1" xfId="3" applyFont="1" applyFill="1" applyBorder="1" applyAlignment="1">
      <alignment horizontal="center" vertical="center" wrapText="1"/>
    </xf>
    <xf numFmtId="0" fontId="71" fillId="8" borderId="1" xfId="3" applyFont="1" applyFill="1" applyBorder="1" applyAlignment="1">
      <alignment horizontal="center" vertical="center" wrapText="1"/>
    </xf>
    <xf numFmtId="0" fontId="63" fillId="9" borderId="1" xfId="3" applyFont="1" applyFill="1" applyBorder="1" applyAlignment="1">
      <alignment horizontal="center" vertical="center" wrapText="1"/>
    </xf>
    <xf numFmtId="0" fontId="63" fillId="9" borderId="5" xfId="3" applyFont="1" applyFill="1" applyBorder="1" applyAlignment="1">
      <alignment horizontal="center" vertical="center" wrapText="1"/>
    </xf>
    <xf numFmtId="0" fontId="63" fillId="9" borderId="32" xfId="3" applyFont="1" applyFill="1" applyBorder="1" applyAlignment="1">
      <alignment horizontal="center" vertical="center" wrapText="1"/>
    </xf>
    <xf numFmtId="0" fontId="63" fillId="9" borderId="6" xfId="3" applyFont="1" applyFill="1" applyBorder="1" applyAlignment="1">
      <alignment horizontal="center" vertical="center" wrapText="1"/>
    </xf>
    <xf numFmtId="0" fontId="64" fillId="31" borderId="5" xfId="3" applyFont="1" applyFill="1" applyBorder="1" applyAlignment="1">
      <alignment horizontal="center" vertical="center" wrapText="1"/>
    </xf>
    <xf numFmtId="0" fontId="64" fillId="31" borderId="6" xfId="3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110" fillId="0" borderId="1" xfId="3" applyFont="1" applyBorder="1" applyAlignment="1">
      <alignment horizontal="center" vertical="center"/>
    </xf>
    <xf numFmtId="0" fontId="95" fillId="35" borderId="43" xfId="4" applyFont="1" applyFill="1" applyBorder="1" applyAlignment="1">
      <alignment horizontal="center" vertical="center" wrapText="1"/>
    </xf>
    <xf numFmtId="0" fontId="107" fillId="0" borderId="47" xfId="4" applyFont="1" applyBorder="1" applyAlignment="1">
      <alignment horizontal="center" vertical="center" wrapText="1"/>
    </xf>
    <xf numFmtId="0" fontId="107" fillId="0" borderId="42" xfId="4" applyFont="1" applyBorder="1" applyAlignment="1">
      <alignment horizontal="center" vertical="center" wrapText="1"/>
    </xf>
    <xf numFmtId="0" fontId="102" fillId="0" borderId="1" xfId="4" applyFont="1" applyBorder="1" applyAlignment="1">
      <alignment horizontal="center" vertical="center" wrapText="1"/>
    </xf>
    <xf numFmtId="0" fontId="109" fillId="2" borderId="1" xfId="4" applyFont="1" applyFill="1" applyBorder="1" applyAlignment="1">
      <alignment horizontal="center" vertical="center" wrapText="1"/>
    </xf>
    <xf numFmtId="0" fontId="94" fillId="0" borderId="1" xfId="4" applyFont="1" applyBorder="1" applyAlignment="1">
      <alignment horizontal="center" vertical="center" wrapText="1"/>
    </xf>
    <xf numFmtId="0" fontId="100" fillId="2" borderId="46" xfId="4" applyFont="1" applyFill="1" applyBorder="1" applyAlignment="1">
      <alignment horizontal="center" vertical="center" wrapText="1"/>
    </xf>
    <xf numFmtId="0" fontId="100" fillId="2" borderId="31" xfId="4" applyFont="1" applyFill="1" applyBorder="1" applyAlignment="1">
      <alignment horizontal="center" vertical="center" wrapText="1"/>
    </xf>
    <xf numFmtId="0" fontId="100" fillId="2" borderId="30" xfId="4" applyFont="1" applyFill="1" applyBorder="1" applyAlignment="1">
      <alignment horizontal="center" vertical="center" wrapText="1"/>
    </xf>
    <xf numFmtId="0" fontId="100" fillId="2" borderId="1" xfId="4" applyFont="1" applyFill="1" applyBorder="1" applyAlignment="1">
      <alignment horizontal="center" vertical="center" wrapText="1"/>
    </xf>
    <xf numFmtId="0" fontId="104" fillId="2" borderId="5" xfId="4" applyFont="1" applyFill="1" applyBorder="1" applyAlignment="1">
      <alignment horizontal="center" vertical="center" wrapText="1"/>
    </xf>
    <xf numFmtId="0" fontId="104" fillId="2" borderId="32" xfId="4" applyFont="1" applyFill="1" applyBorder="1" applyAlignment="1">
      <alignment horizontal="center" vertical="center" wrapText="1"/>
    </xf>
    <xf numFmtId="0" fontId="104" fillId="2" borderId="6" xfId="4" applyFont="1" applyFill="1" applyBorder="1" applyAlignment="1">
      <alignment horizontal="center" vertical="center" wrapText="1"/>
    </xf>
    <xf numFmtId="0" fontId="104" fillId="2" borderId="1" xfId="4" applyFont="1" applyFill="1" applyBorder="1" applyAlignment="1">
      <alignment horizontal="center" vertical="center" wrapText="1"/>
    </xf>
    <xf numFmtId="0" fontId="120" fillId="2" borderId="5" xfId="6" applyFont="1" applyFill="1" applyBorder="1" applyAlignment="1">
      <alignment horizontal="center" vertical="center" wrapText="1"/>
    </xf>
    <xf numFmtId="0" fontId="120" fillId="2" borderId="32" xfId="6" applyFont="1" applyFill="1" applyBorder="1" applyAlignment="1">
      <alignment horizontal="center" vertical="center" wrapText="1"/>
    </xf>
    <xf numFmtId="0" fontId="120" fillId="2" borderId="6" xfId="6" applyFont="1" applyFill="1" applyBorder="1" applyAlignment="1">
      <alignment horizontal="center" vertical="center" wrapText="1"/>
    </xf>
    <xf numFmtId="0" fontId="118" fillId="0" borderId="54" xfId="3" applyFont="1" applyBorder="1" applyAlignment="1">
      <alignment horizontal="center" vertical="center" wrapText="1"/>
    </xf>
    <xf numFmtId="0" fontId="118" fillId="0" borderId="49" xfId="3" applyFont="1" applyBorder="1" applyAlignment="1">
      <alignment horizontal="center" vertical="center" wrapText="1"/>
    </xf>
    <xf numFmtId="0" fontId="129" fillId="48" borderId="43" xfId="7" applyFont="1" applyFill="1" applyBorder="1" applyAlignment="1">
      <alignment horizontal="center" vertical="center"/>
    </xf>
    <xf numFmtId="0" fontId="129" fillId="48" borderId="42" xfId="7" applyFont="1" applyFill="1" applyBorder="1" applyAlignment="1">
      <alignment horizontal="center" vertical="center"/>
    </xf>
  </cellXfs>
  <cellStyles count="8">
    <cellStyle name="Normal" xfId="0" builtinId="0"/>
    <cellStyle name="Normal 2" xfId="2" xr:uid="{5DD338C1-82ED-4982-9BB5-3EF66968FF01}"/>
    <cellStyle name="Normal 2 2" xfId="4" xr:uid="{511AF93F-5767-4AA6-B1ED-4F988213519B}"/>
    <cellStyle name="Normal 3" xfId="3" xr:uid="{2325A7D6-EA30-4F87-9F44-BE1E3356D852}"/>
    <cellStyle name="Normal 3 2" xfId="6" xr:uid="{ED522051-0225-4473-9518-F3E7B0C53EBF}"/>
    <cellStyle name="Normal 3 3" xfId="7" xr:uid="{09786FEB-E820-4937-8D5F-BA3D20A84460}"/>
    <cellStyle name="Normal 4" xfId="5" xr:uid="{8BD345DC-0D02-476B-B0AB-1D49AAEB3C56}"/>
    <cellStyle name="Percent" xfId="1" builtinId="5"/>
  </cellStyles>
  <dxfs count="4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masis MT Pro"/>
        <family val="1"/>
        <scheme val="none"/>
      </font>
      <numFmt numFmtId="164" formatCode="&quot;₹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masis MT Pro"/>
        <family val="1"/>
        <scheme val="none"/>
      </font>
      <numFmt numFmtId="164" formatCode="&quot;₹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C0C0C"/>
        <name val="Amasis MT Pro"/>
        <family val="1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Bookman Old Style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Bookman Old Style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3"/>
        <color auto="1"/>
        <name val="Bookman Old Style"/>
        <family val="1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4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ookman Old Style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numFmt numFmtId="164" formatCode="&quot;₹&quot;\ 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ookman Old Style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4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ADB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3.xml"/><Relationship Id="rId2" Type="http://schemas.openxmlformats.org/officeDocument/2006/relationships/image" Target="NULL"/><Relationship Id="rId1" Type="http://schemas.openxmlformats.org/officeDocument/2006/relationships/customXml" Target="../ink/ink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customXml" Target="../ink/ink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ustomXml" Target="../ink/ink6.xml"/><Relationship Id="rId21" Type="http://schemas.openxmlformats.org/officeDocument/2006/relationships/image" Target="NULL"/><Relationship Id="rId2" Type="http://schemas.openxmlformats.org/officeDocument/2006/relationships/image" Target="NULL"/><Relationship Id="rId1" Type="http://schemas.openxmlformats.org/officeDocument/2006/relationships/customXml" Target="../ink/ink5.xml"/><Relationship Id="rId23" Type="http://schemas.openxmlformats.org/officeDocument/2006/relationships/image" Target="../media/image41.png"/><Relationship Id="rId22" Type="http://schemas.openxmlformats.org/officeDocument/2006/relationships/customXml" Target="../ink/ink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customXml" Target="../ink/ink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customXml" Target="../ink/ink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5800</xdr:colOff>
      <xdr:row>2</xdr:row>
      <xdr:rowOff>96190</xdr:rowOff>
    </xdr:from>
    <xdr:to>
      <xdr:col>2</xdr:col>
      <xdr:colOff>6160</xdr:colOff>
      <xdr:row>2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BA638DA-C58D-4CCD-BBEE-20F0E44E67B3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5800</xdr:colOff>
      <xdr:row>1</xdr:row>
      <xdr:rowOff>96190</xdr:rowOff>
    </xdr:from>
    <xdr:to>
      <xdr:col>2</xdr:col>
      <xdr:colOff>6160</xdr:colOff>
      <xdr:row>1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12737D9-BC08-40EF-8246-DFBA0ACCBB45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5800</xdr:colOff>
      <xdr:row>1</xdr:row>
      <xdr:rowOff>96190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B1062B0-FDA7-4023-B7A0-D12D02C8F9A3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5800</xdr:colOff>
      <xdr:row>20</xdr:row>
      <xdr:rowOff>96190</xdr:rowOff>
    </xdr:from>
    <xdr:to>
      <xdr:col>8</xdr:col>
      <xdr:colOff>6160</xdr:colOff>
      <xdr:row>20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ED223C3-3139-4C21-BBC6-BF38AB67AA2D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1447740</xdr:colOff>
      <xdr:row>19</xdr:row>
      <xdr:rowOff>479820</xdr:rowOff>
    </xdr:from>
    <xdr:to>
      <xdr:col>11</xdr:col>
      <xdr:colOff>1448100</xdr:colOff>
      <xdr:row>36</xdr:row>
      <xdr:rowOff>156716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197EFB9-03A3-4AC5-A2D9-77ADD7568D2E}"/>
                </a:ext>
              </a:extLst>
            </xdr14:cNvPr>
            <xdr14:cNvContentPartPr/>
          </xdr14:nvContentPartPr>
          <xdr14:nvPr macro=""/>
          <xdr14:xfrm>
            <a:off x="10751760" y="41907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B306446-A587-2256-CC5F-4F3B5E47CB3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742760" y="4181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350520</xdr:colOff>
      <xdr:row>6</xdr:row>
      <xdr:rowOff>106500</xdr:rowOff>
    </xdr:from>
    <xdr:to>
      <xdr:col>14</xdr:col>
      <xdr:colOff>378960</xdr:colOff>
      <xdr:row>6</xdr:row>
      <xdr:rowOff>106860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A728BDB-AB49-4F9B-AA4E-67CCAA1B44E2}"/>
                </a:ext>
              </a:extLst>
            </xdr14:cNvPr>
            <xdr14:cNvContentPartPr/>
          </xdr14:nvContentPartPr>
          <xdr14:nvPr macro=""/>
          <xdr14:xfrm>
            <a:off x="12710160" y="1440000"/>
            <a:ext cx="2844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A08AC6D-A329-4750-976D-12F943D39DE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2701520" y="1431000"/>
              <a:ext cx="460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2499180</xdr:colOff>
      <xdr:row>19</xdr:row>
      <xdr:rowOff>266700</xdr:rowOff>
    </xdr:from>
    <xdr:to>
      <xdr:col>11</xdr:col>
      <xdr:colOff>2499540</xdr:colOff>
      <xdr:row>36</xdr:row>
      <xdr:rowOff>152760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74EFA19-E992-4F3D-9E56-36018D3C1585}"/>
                </a:ext>
              </a:extLst>
            </xdr14:cNvPr>
            <xdr14:cNvContentPartPr/>
          </xdr14:nvContentPartPr>
          <xdr14:nvPr macro=""/>
          <xdr14:xfrm>
            <a:off x="11696520" y="463296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DCAACCE-EB45-5E5C-B90A-6D154373F3CA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1678520" y="46149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5800</xdr:colOff>
      <xdr:row>0</xdr:row>
      <xdr:rowOff>96190</xdr:rowOff>
    </xdr:from>
    <xdr:to>
      <xdr:col>1</xdr:col>
      <xdr:colOff>6160</xdr:colOff>
      <xdr:row>0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9AB586C-E202-45CC-9C02-77FEF928A72F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5800</xdr:colOff>
      <xdr:row>0</xdr:row>
      <xdr:rowOff>96190</xdr:rowOff>
    </xdr:from>
    <xdr:to>
      <xdr:col>1</xdr:col>
      <xdr:colOff>6160</xdr:colOff>
      <xdr:row>0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517FF53-23AE-42A8-AD01-0C204E480CC4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1T13:19:37.080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6:32:25.63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6:35:29.76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07:16:03.27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9T13:15:50.432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0 24575,'0'0'-8191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9T13:15:50.433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0 24575,'3'0'0,"5"0"0,9 0 0,8 0 0,0 0-8191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9T13:15:50.43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1 0 8192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17:33:17.700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17:45:31.041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DR. NISHTHA JAIN" id="{08673384-2B29-4805-AFBC-FD46B9A55678}" userId="116f6aa4af3aa8b1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59108E-2AB4-4B88-A8A4-CCC76144E016}" name="Table2" displayName="Table2" ref="H9:I19" totalsRowShown="0">
  <autoFilter ref="H9:I19" xr:uid="{2259108E-2AB4-4B88-A8A4-CCC76144E016}"/>
  <tableColumns count="2">
    <tableColumn id="1" xr3:uid="{2464D0A9-6518-4603-B360-B8F9C929E469}" name="Component" dataDxfId="45"/>
    <tableColumn id="2" xr3:uid="{D8AB9EE0-C195-426B-A0F6-FACE631E5D6C}" name="Description" dataDxfId="44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F9B9C3-28DA-4E2C-B136-0D1A0C085413}" name="Table1" displayName="Table1" ref="G2:J18" totalsRowCount="1" headerRowDxfId="43" dataDxfId="41" headerRowBorderDxfId="42" tableBorderDxfId="40" headerRowCellStyle="Normal 2">
  <autoFilter ref="G2:J17" xr:uid="{03F9B9C3-28DA-4E2C-B136-0D1A0C085413}"/>
  <sortState xmlns:xlrd2="http://schemas.microsoft.com/office/spreadsheetml/2017/richdata2" ref="G9:J16">
    <sortCondition ref="H2:H17"/>
  </sortState>
  <tableColumns count="4">
    <tableColumn id="1" xr3:uid="{E2E80BDE-6659-40A7-831C-18BEB4289EFE}" name="Items" totalsRowLabel="Average" dataDxfId="39" totalsRowDxfId="38" dataCellStyle="Normal 2"/>
    <tableColumn id="2" xr3:uid="{8D63A0B8-A74A-4BC1-8ECE-9A7FCCA8433A}" name="Prices" totalsRowFunction="average" dataDxfId="37" totalsRowDxfId="36"/>
    <tableColumn id="3" xr3:uid="{497FF2B8-473F-4964-887A-86E30924FC41}" name="Dates" dataDxfId="35" totalsRowDxfId="34"/>
    <tableColumn id="4" xr3:uid="{477D747F-F012-437E-A2E8-D851D8F6632E}" name="Regions" totalsRowFunction="count" dataDxfId="33" totalsRowDxfId="32" dataCellStyle="Normal 2"/>
  </tableColumns>
  <tableStyleInfo name="TableStyleDark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92D181-4F54-4CC4-9870-0F1B70F0D6ED}" name="Table5" displayName="Table5" ref="H21:K42" totalsRowCount="1" headerRowDxfId="31" dataDxfId="29" totalsRowDxfId="27" headerRowBorderDxfId="30" tableBorderDxfId="28" headerRowCellStyle="Normal 2">
  <autoFilter ref="H21:K41" xr:uid="{7892D181-4F54-4CC4-9870-0F1B70F0D6ED}"/>
  <tableColumns count="4">
    <tableColumn id="1" xr3:uid="{2AACB5FA-11B1-4C44-9C64-E52CD7AB7730}" name="Items" totalsRowLabel="Total" dataDxfId="26" totalsRowDxfId="25" dataCellStyle="Normal 2" totalsRowCellStyle="Normal 2"/>
    <tableColumn id="2" xr3:uid="{92EF6DDD-DF7B-4C56-A99D-A6DC933F3587}" name="Prices" totalsRowFunction="sum" dataDxfId="24" totalsRowDxfId="23"/>
    <tableColumn id="3" xr3:uid="{A9F9C94F-4F23-4565-8FE5-2F93B4730101}" name="Dates" dataDxfId="22" totalsRowDxfId="21"/>
    <tableColumn id="4" xr3:uid="{56FE6152-6975-46D1-8C22-C5DA30B8B866}" name="Regions" totalsRowFunction="count" dataDxfId="20" totalsRowDxfId="19" dataCellStyle="Normal 2" totalsRowCellStyle="Normal 2"/>
  </tableColumns>
  <tableStyleInfo name="TableStyleLight17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3D1180-8D86-4200-9176-C36EC0845D94}" name="Table3" displayName="Table3" ref="A1:E36" totalsRowShown="0" headerRowDxfId="18" dataDxfId="16" headerRowBorderDxfId="17" tableBorderDxfId="15" totalsRowBorderDxfId="14" headerRowCellStyle="Normal 4">
  <autoFilter ref="A1:E36" xr:uid="{1D3D1180-8D86-4200-9176-C36EC0845D94}"/>
  <sortState xmlns:xlrd2="http://schemas.microsoft.com/office/spreadsheetml/2017/richdata2" ref="A2:E36">
    <sortCondition ref="A1:A36"/>
  </sortState>
  <tableColumns count="5">
    <tableColumn id="1" xr3:uid="{DC16FF6B-5D2D-4864-9DD8-943E3F4FE058}" name="Date" dataDxfId="13" dataCellStyle="Normal 4"/>
    <tableColumn id="2" xr3:uid="{C311610C-E221-4526-B401-063BAE9C320C}" name="Months" dataDxfId="12" dataCellStyle="Normal 4"/>
    <tableColumn id="3" xr3:uid="{9641B6CB-1C5E-4092-8443-BE42A1D8884A}" name="Items" dataDxfId="11" dataCellStyle="Normal 4"/>
    <tableColumn id="4" xr3:uid="{B66C3345-EACF-4846-A18D-0BBE92EE3957}" name="Cost Price" dataDxfId="10" dataCellStyle="Normal 4"/>
    <tableColumn id="5" xr3:uid="{04206549-B7A9-46DC-B90B-534EDDDC7126}" name="Cost Price2" dataDxfId="9" dataCellStyle="Normal 4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4" dT="2026-08-07T14:27:43.43" personId="{08673384-2B29-4805-AFBC-FD46B9A55678}" id="{3AB69CAA-AE09-4487-A013-2D20A073A2CA}">
    <text>Please checck the value</text>
  </threadedComment>
  <threadedComment ref="C5" dT="2026-08-07T14:27:43.43" personId="{08673384-2B29-4805-AFBC-FD46B9A55678}" id="{4A6D0816-4D41-4AB2-A9D6-1E38783FDE95}">
    <text>Please checck the value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D101-F3F4-44C7-92C7-5B064D8BC768}">
  <dimension ref="A1:N22"/>
  <sheetViews>
    <sheetView topLeftCell="C1" workbookViewId="0">
      <selection activeCell="G26" sqref="G26"/>
    </sheetView>
  </sheetViews>
  <sheetFormatPr defaultRowHeight="14.4" x14ac:dyDescent="0.3"/>
  <cols>
    <col min="6" max="6" width="11.109375" customWidth="1"/>
    <col min="8" max="8" width="18.44140625" customWidth="1"/>
    <col min="9" max="9" width="29.77734375" customWidth="1"/>
    <col min="10" max="10" width="12.6640625" customWidth="1"/>
    <col min="11" max="11" width="9.21875" customWidth="1"/>
    <col min="12" max="12" width="16.21875" customWidth="1"/>
  </cols>
  <sheetData>
    <row r="1" spans="1:14" ht="14.4" customHeight="1" x14ac:dyDescent="0.3">
      <c r="A1" s="523" t="s">
        <v>94</v>
      </c>
      <c r="B1" s="524"/>
      <c r="C1" s="524"/>
      <c r="D1" s="524"/>
      <c r="E1" s="524"/>
      <c r="F1" s="524"/>
    </row>
    <row r="2" spans="1:14" ht="14.4" customHeight="1" x14ac:dyDescent="0.3">
      <c r="A2" s="524"/>
      <c r="B2" s="524"/>
      <c r="C2" s="524"/>
      <c r="D2" s="524"/>
      <c r="E2" s="524"/>
      <c r="F2" s="524"/>
    </row>
    <row r="3" spans="1:14" ht="14.4" customHeight="1" x14ac:dyDescent="0.3">
      <c r="A3" s="524"/>
      <c r="B3" s="524"/>
      <c r="C3" s="524"/>
      <c r="D3" s="524"/>
      <c r="E3" s="524"/>
      <c r="F3" s="524"/>
      <c r="G3" s="525" t="s">
        <v>0</v>
      </c>
      <c r="H3" s="525"/>
      <c r="I3" s="525"/>
      <c r="J3" s="525"/>
      <c r="K3" s="525"/>
    </row>
    <row r="4" spans="1:14" ht="14.4" customHeight="1" x14ac:dyDescent="0.3">
      <c r="G4" s="525" t="s">
        <v>25</v>
      </c>
      <c r="H4" s="525"/>
      <c r="I4" s="525"/>
      <c r="J4" s="525"/>
      <c r="K4" s="525"/>
    </row>
    <row r="5" spans="1:14" ht="14.4" customHeight="1" x14ac:dyDescent="0.3">
      <c r="G5" s="525" t="s">
        <v>26</v>
      </c>
      <c r="H5" s="525"/>
      <c r="I5" s="525"/>
      <c r="J5" s="525"/>
      <c r="K5" s="525"/>
    </row>
    <row r="6" spans="1:14" ht="14.4" customHeight="1" x14ac:dyDescent="0.3">
      <c r="G6" s="525" t="s">
        <v>27</v>
      </c>
      <c r="H6" s="525"/>
      <c r="I6" s="525"/>
      <c r="J6" s="525"/>
      <c r="K6" s="525"/>
    </row>
    <row r="7" spans="1:14" x14ac:dyDescent="0.3">
      <c r="C7" s="8"/>
      <c r="E7" s="1" t="s">
        <v>5</v>
      </c>
      <c r="G7" s="525" t="s">
        <v>28</v>
      </c>
      <c r="H7" s="525"/>
      <c r="I7" s="525"/>
      <c r="J7" s="525"/>
      <c r="K7" s="525"/>
    </row>
    <row r="8" spans="1:14" x14ac:dyDescent="0.3">
      <c r="A8" s="1" t="s">
        <v>1</v>
      </c>
      <c r="D8" s="2">
        <v>1</v>
      </c>
      <c r="E8" s="3" t="s">
        <v>6</v>
      </c>
      <c r="F8" s="4" t="s">
        <v>18</v>
      </c>
    </row>
    <row r="9" spans="1:14" x14ac:dyDescent="0.3">
      <c r="A9" t="s">
        <v>2</v>
      </c>
      <c r="D9" s="2">
        <v>2</v>
      </c>
      <c r="E9" s="3" t="s">
        <v>7</v>
      </c>
      <c r="F9" s="4" t="s">
        <v>19</v>
      </c>
      <c r="H9" s="8" t="s">
        <v>29</v>
      </c>
      <c r="I9" s="5" t="s">
        <v>30</v>
      </c>
    </row>
    <row r="10" spans="1:14" x14ac:dyDescent="0.3">
      <c r="A10" t="s">
        <v>3</v>
      </c>
      <c r="D10" s="2">
        <v>3</v>
      </c>
      <c r="E10" s="3" t="s">
        <v>8</v>
      </c>
      <c r="F10" s="4" t="s">
        <v>20</v>
      </c>
      <c r="H10" t="s">
        <v>31</v>
      </c>
      <c r="I10" t="s">
        <v>41</v>
      </c>
    </row>
    <row r="11" spans="1:14" x14ac:dyDescent="0.3">
      <c r="A11" t="s">
        <v>4</v>
      </c>
      <c r="D11" s="2">
        <v>4</v>
      </c>
      <c r="E11" s="3" t="s">
        <v>9</v>
      </c>
      <c r="F11" s="4" t="s">
        <v>21</v>
      </c>
      <c r="H11" t="s">
        <v>32</v>
      </c>
      <c r="I11" t="s">
        <v>42</v>
      </c>
      <c r="J11" s="7"/>
    </row>
    <row r="12" spans="1:14" x14ac:dyDescent="0.3">
      <c r="D12" s="2">
        <v>5</v>
      </c>
      <c r="E12" s="3" t="s">
        <v>10</v>
      </c>
      <c r="F12" s="4" t="s">
        <v>22</v>
      </c>
      <c r="G12" s="6"/>
      <c r="H12" t="s">
        <v>33</v>
      </c>
      <c r="I12" s="11" t="s">
        <v>43</v>
      </c>
      <c r="J12" s="6"/>
      <c r="K12" s="6"/>
      <c r="L12" s="6"/>
      <c r="N12" s="6"/>
    </row>
    <row r="13" spans="1:14" x14ac:dyDescent="0.3">
      <c r="D13" s="2">
        <v>6</v>
      </c>
      <c r="E13" s="3" t="s">
        <v>11</v>
      </c>
      <c r="F13" s="4" t="s">
        <v>23</v>
      </c>
      <c r="G13" s="5"/>
      <c r="H13" s="9" t="s">
        <v>34</v>
      </c>
      <c r="I13" s="11" t="s">
        <v>44</v>
      </c>
      <c r="J13" s="5"/>
      <c r="K13" s="5"/>
      <c r="L13" s="5"/>
    </row>
    <row r="14" spans="1:14" x14ac:dyDescent="0.3">
      <c r="D14" s="2">
        <v>7</v>
      </c>
      <c r="E14" s="3" t="s">
        <v>12</v>
      </c>
      <c r="F14" s="4" t="s">
        <v>24</v>
      </c>
      <c r="G14" s="5"/>
      <c r="H14" s="10" t="s">
        <v>35</v>
      </c>
      <c r="I14" s="13" t="s">
        <v>45</v>
      </c>
      <c r="J14" s="5"/>
      <c r="K14" s="5"/>
      <c r="L14" s="5"/>
    </row>
    <row r="15" spans="1:14" x14ac:dyDescent="0.3">
      <c r="D15" s="2">
        <v>8</v>
      </c>
      <c r="E15" s="3" t="s">
        <v>13</v>
      </c>
      <c r="G15" s="5"/>
      <c r="H15" s="10" t="s">
        <v>36</v>
      </c>
      <c r="I15" s="12" t="s">
        <v>46</v>
      </c>
      <c r="J15" s="5"/>
      <c r="K15" s="5"/>
      <c r="L15" s="5"/>
    </row>
    <row r="16" spans="1:14" x14ac:dyDescent="0.3">
      <c r="D16" s="2">
        <v>9</v>
      </c>
      <c r="E16" s="3" t="s">
        <v>14</v>
      </c>
      <c r="G16" s="5"/>
      <c r="H16" s="11" t="s">
        <v>37</v>
      </c>
      <c r="I16" s="11" t="s">
        <v>97</v>
      </c>
      <c r="J16" s="5"/>
      <c r="K16" s="5"/>
      <c r="L16" s="5"/>
    </row>
    <row r="17" spans="4:12" x14ac:dyDescent="0.3">
      <c r="D17" s="2">
        <v>10</v>
      </c>
      <c r="E17" s="3" t="s">
        <v>15</v>
      </c>
      <c r="G17" s="5"/>
      <c r="H17" s="11" t="s">
        <v>38</v>
      </c>
      <c r="I17" s="11" t="s">
        <v>95</v>
      </c>
      <c r="J17" s="5"/>
      <c r="K17" s="5"/>
      <c r="L17" s="5"/>
    </row>
    <row r="18" spans="4:12" x14ac:dyDescent="0.3">
      <c r="D18" s="2">
        <v>11</v>
      </c>
      <c r="E18" s="3" t="s">
        <v>16</v>
      </c>
      <c r="G18" s="5"/>
      <c r="H18" s="11" t="s">
        <v>39</v>
      </c>
      <c r="I18" s="11" t="s">
        <v>96</v>
      </c>
      <c r="J18" s="5"/>
      <c r="K18" s="5"/>
      <c r="L18" s="5"/>
    </row>
    <row r="19" spans="4:12" x14ac:dyDescent="0.3">
      <c r="D19" s="2">
        <v>12</v>
      </c>
      <c r="E19" s="3" t="s">
        <v>17</v>
      </c>
      <c r="G19" s="5"/>
      <c r="H19" s="11" t="s">
        <v>40</v>
      </c>
      <c r="I19" s="11" t="s">
        <v>47</v>
      </c>
      <c r="J19" s="5"/>
      <c r="K19" s="5"/>
      <c r="L19" s="5"/>
    </row>
    <row r="20" spans="4:12" x14ac:dyDescent="0.3">
      <c r="G20" s="5"/>
      <c r="J20" s="5"/>
      <c r="K20" s="5"/>
      <c r="L20" s="5"/>
    </row>
    <row r="21" spans="4:12" x14ac:dyDescent="0.3">
      <c r="G21" s="5"/>
      <c r="J21" s="5"/>
      <c r="K21" s="5"/>
      <c r="L21" s="5"/>
    </row>
    <row r="22" spans="4:12" x14ac:dyDescent="0.3">
      <c r="G22" s="5"/>
      <c r="J22" s="5"/>
      <c r="K22" s="5"/>
      <c r="L22" s="5"/>
    </row>
  </sheetData>
  <mergeCells count="6">
    <mergeCell ref="A1:F3"/>
    <mergeCell ref="G7:K7"/>
    <mergeCell ref="G3:K3"/>
    <mergeCell ref="G4:K4"/>
    <mergeCell ref="G5:K5"/>
    <mergeCell ref="G6:K6"/>
  </mergeCells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2667-FA00-42BA-A9F8-94619B32ED44}">
  <dimension ref="A1:R23"/>
  <sheetViews>
    <sheetView topLeftCell="G1" workbookViewId="0">
      <selection activeCell="H2" sqref="H2"/>
    </sheetView>
  </sheetViews>
  <sheetFormatPr defaultRowHeight="14.4" x14ac:dyDescent="0.3"/>
  <cols>
    <col min="3" max="3" width="7.44140625" bestFit="1" customWidth="1"/>
    <col min="4" max="4" width="12.5546875" bestFit="1" customWidth="1"/>
    <col min="5" max="5" width="8.33203125" bestFit="1" customWidth="1"/>
    <col min="8" max="8" width="9.21875" customWidth="1"/>
    <col min="9" max="9" width="11.44140625" customWidth="1"/>
    <col min="10" max="10" width="7.33203125" customWidth="1"/>
    <col min="11" max="11" width="9.33203125" customWidth="1"/>
    <col min="12" max="12" width="12.5546875" bestFit="1" customWidth="1"/>
  </cols>
  <sheetData>
    <row r="1" spans="1:18" x14ac:dyDescent="0.3">
      <c r="A1" s="526" t="s">
        <v>99</v>
      </c>
      <c r="B1" s="525"/>
      <c r="C1" s="525"/>
    </row>
    <row r="2" spans="1:18" x14ac:dyDescent="0.3">
      <c r="A2" s="525"/>
      <c r="B2" s="525"/>
      <c r="C2" s="525"/>
    </row>
    <row r="3" spans="1:18" ht="14.4" customHeight="1" x14ac:dyDescent="0.5">
      <c r="D3" s="29"/>
      <c r="E3" s="5"/>
      <c r="F3" s="5"/>
      <c r="O3" s="5"/>
      <c r="P3" s="5"/>
      <c r="Q3" s="5"/>
      <c r="R3" s="5"/>
    </row>
    <row r="4" spans="1:18" ht="14.4" customHeight="1" x14ac:dyDescent="0.35">
      <c r="D4" s="5"/>
      <c r="E4" s="5"/>
      <c r="F4" s="5"/>
      <c r="I4" s="30"/>
      <c r="J4" s="30"/>
      <c r="K4" s="30"/>
      <c r="O4" s="5"/>
      <c r="P4" s="5"/>
      <c r="Q4" s="5"/>
      <c r="R4" s="5"/>
    </row>
    <row r="5" spans="1:18" ht="21" x14ac:dyDescent="0.35">
      <c r="C5" s="527" t="s">
        <v>98</v>
      </c>
      <c r="D5" s="527"/>
      <c r="E5" s="527"/>
      <c r="I5" s="30"/>
      <c r="J5" s="30"/>
      <c r="K5" s="30"/>
      <c r="O5" s="5"/>
      <c r="P5" s="5"/>
      <c r="Q5" s="5"/>
      <c r="R5" s="5"/>
    </row>
    <row r="6" spans="1:18" ht="18" x14ac:dyDescent="0.35">
      <c r="C6" s="16" t="s">
        <v>36</v>
      </c>
      <c r="D6" s="16" t="s">
        <v>48</v>
      </c>
      <c r="E6" s="16" t="s">
        <v>49</v>
      </c>
      <c r="H6" s="530" t="s">
        <v>75</v>
      </c>
      <c r="I6" s="531"/>
      <c r="J6" s="531"/>
      <c r="K6" s="531"/>
      <c r="L6" s="531"/>
      <c r="O6" s="5"/>
      <c r="P6" s="5"/>
      <c r="Q6" s="5"/>
      <c r="R6" s="5"/>
    </row>
    <row r="7" spans="1:18" x14ac:dyDescent="0.3">
      <c r="C7" s="14" t="s">
        <v>55</v>
      </c>
      <c r="D7" s="1" t="s">
        <v>56</v>
      </c>
      <c r="E7" s="15" t="s">
        <v>61</v>
      </c>
    </row>
    <row r="8" spans="1:18" x14ac:dyDescent="0.3">
      <c r="C8" s="14" t="s">
        <v>50</v>
      </c>
      <c r="D8" s="1" t="s">
        <v>57</v>
      </c>
      <c r="E8" s="15" t="s">
        <v>62</v>
      </c>
      <c r="H8" s="21" t="s">
        <v>76</v>
      </c>
      <c r="I8" s="21" t="s">
        <v>36</v>
      </c>
      <c r="J8" s="21" t="s">
        <v>77</v>
      </c>
      <c r="K8" s="21" t="s">
        <v>78</v>
      </c>
      <c r="L8" s="21" t="s">
        <v>48</v>
      </c>
    </row>
    <row r="9" spans="1:18" x14ac:dyDescent="0.3">
      <c r="C9" s="14" t="s">
        <v>51</v>
      </c>
      <c r="D9" s="1" t="s">
        <v>58</v>
      </c>
      <c r="E9" s="15" t="s">
        <v>63</v>
      </c>
      <c r="H9" s="22">
        <v>101</v>
      </c>
      <c r="I9" s="24" t="s">
        <v>51</v>
      </c>
      <c r="J9" s="26">
        <v>21</v>
      </c>
      <c r="K9" s="27">
        <v>20000</v>
      </c>
      <c r="L9" s="28" t="s">
        <v>60</v>
      </c>
    </row>
    <row r="10" spans="1:18" x14ac:dyDescent="0.3">
      <c r="C10" s="14" t="s">
        <v>52</v>
      </c>
      <c r="D10" s="1" t="s">
        <v>59</v>
      </c>
      <c r="E10" s="15" t="s">
        <v>64</v>
      </c>
      <c r="H10" s="22">
        <v>102</v>
      </c>
      <c r="I10" s="24" t="s">
        <v>79</v>
      </c>
      <c r="J10" s="26">
        <v>22</v>
      </c>
      <c r="K10" s="27">
        <v>25000</v>
      </c>
      <c r="L10" s="28" t="s">
        <v>57</v>
      </c>
    </row>
    <row r="11" spans="1:18" x14ac:dyDescent="0.3">
      <c r="C11" s="14" t="s">
        <v>53</v>
      </c>
      <c r="D11" s="1" t="s">
        <v>60</v>
      </c>
      <c r="E11" s="15" t="s">
        <v>65</v>
      </c>
      <c r="H11" s="22">
        <v>103</v>
      </c>
      <c r="I11" s="24" t="s">
        <v>80</v>
      </c>
      <c r="J11" s="26">
        <v>21</v>
      </c>
      <c r="K11" s="27">
        <v>40000</v>
      </c>
      <c r="L11" s="28" t="s">
        <v>56</v>
      </c>
    </row>
    <row r="12" spans="1:18" x14ac:dyDescent="0.3">
      <c r="C12" s="14" t="s">
        <v>54</v>
      </c>
      <c r="D12" s="1" t="s">
        <v>57</v>
      </c>
      <c r="E12" s="15" t="s">
        <v>66</v>
      </c>
      <c r="H12" s="22">
        <v>104</v>
      </c>
      <c r="I12" s="24" t="s">
        <v>81</v>
      </c>
      <c r="J12" s="26">
        <v>24</v>
      </c>
      <c r="K12" s="27">
        <v>45000</v>
      </c>
      <c r="L12" s="28" t="s">
        <v>92</v>
      </c>
    </row>
    <row r="13" spans="1:18" x14ac:dyDescent="0.3">
      <c r="H13" s="22">
        <v>105</v>
      </c>
      <c r="I13" s="24" t="s">
        <v>82</v>
      </c>
      <c r="J13" s="26">
        <v>28</v>
      </c>
      <c r="K13" s="27">
        <v>30000</v>
      </c>
      <c r="L13" s="28" t="s">
        <v>60</v>
      </c>
    </row>
    <row r="14" spans="1:18" x14ac:dyDescent="0.3">
      <c r="H14" s="22">
        <v>106</v>
      </c>
      <c r="I14" s="24" t="s">
        <v>83</v>
      </c>
      <c r="J14" s="26">
        <v>30</v>
      </c>
      <c r="K14" s="27">
        <v>95000</v>
      </c>
      <c r="L14" s="28" t="s">
        <v>58</v>
      </c>
    </row>
    <row r="15" spans="1:18" x14ac:dyDescent="0.3">
      <c r="H15" s="22">
        <v>107</v>
      </c>
      <c r="I15" s="24" t="s">
        <v>84</v>
      </c>
      <c r="J15" s="26">
        <v>27</v>
      </c>
      <c r="K15" s="27">
        <v>60000</v>
      </c>
      <c r="L15" s="28" t="s">
        <v>56</v>
      </c>
    </row>
    <row r="16" spans="1:18" x14ac:dyDescent="0.3">
      <c r="D16" s="7"/>
      <c r="E16" s="7"/>
      <c r="F16" s="7"/>
      <c r="H16" s="22">
        <v>108</v>
      </c>
      <c r="I16" s="24" t="s">
        <v>85</v>
      </c>
      <c r="J16" s="26">
        <v>29</v>
      </c>
      <c r="K16" s="27">
        <v>55000</v>
      </c>
      <c r="L16" s="28" t="s">
        <v>92</v>
      </c>
    </row>
    <row r="17" spans="3:12" ht="15" x14ac:dyDescent="0.35">
      <c r="C17" s="528" t="s">
        <v>100</v>
      </c>
      <c r="D17" s="529"/>
      <c r="E17" s="529"/>
      <c r="F17" s="529"/>
      <c r="H17" s="22">
        <v>109</v>
      </c>
      <c r="I17" s="24" t="s">
        <v>93</v>
      </c>
      <c r="J17" s="26">
        <v>20</v>
      </c>
      <c r="K17" s="27">
        <v>34000</v>
      </c>
      <c r="L17" s="28" t="s">
        <v>57</v>
      </c>
    </row>
    <row r="18" spans="3:12" x14ac:dyDescent="0.3">
      <c r="C18" s="17" t="s">
        <v>67</v>
      </c>
      <c r="D18" s="17" t="s">
        <v>68</v>
      </c>
      <c r="E18" s="17" t="s">
        <v>69</v>
      </c>
      <c r="F18" s="17" t="s">
        <v>70</v>
      </c>
      <c r="H18" s="23">
        <v>110</v>
      </c>
      <c r="I18" s="25" t="s">
        <v>86</v>
      </c>
      <c r="J18" s="26">
        <v>27</v>
      </c>
      <c r="K18" s="27">
        <v>23000</v>
      </c>
      <c r="L18" s="28" t="s">
        <v>60</v>
      </c>
    </row>
    <row r="19" spans="3:12" x14ac:dyDescent="0.3">
      <c r="C19" s="18" t="s">
        <v>71</v>
      </c>
      <c r="D19" s="1">
        <v>65000</v>
      </c>
      <c r="E19" s="19">
        <v>0.1</v>
      </c>
      <c r="F19" s="20">
        <v>58500</v>
      </c>
      <c r="H19" s="22">
        <v>111</v>
      </c>
      <c r="I19" s="24" t="s">
        <v>87</v>
      </c>
      <c r="J19" s="26">
        <v>26</v>
      </c>
      <c r="K19" s="27">
        <v>23000</v>
      </c>
      <c r="L19" s="28" t="s">
        <v>58</v>
      </c>
    </row>
    <row r="20" spans="3:12" x14ac:dyDescent="0.3">
      <c r="C20" s="18" t="s">
        <v>72</v>
      </c>
      <c r="D20" s="1">
        <v>25000</v>
      </c>
      <c r="E20" s="19">
        <v>0.05</v>
      </c>
      <c r="F20" s="20">
        <v>23750</v>
      </c>
      <c r="H20" s="22">
        <v>112</v>
      </c>
      <c r="I20" s="24" t="s">
        <v>88</v>
      </c>
      <c r="J20" s="26">
        <v>29</v>
      </c>
      <c r="K20" s="27">
        <v>34530</v>
      </c>
      <c r="L20" s="28" t="s">
        <v>56</v>
      </c>
    </row>
    <row r="21" spans="3:12" x14ac:dyDescent="0.3">
      <c r="C21" s="18" t="s">
        <v>73</v>
      </c>
      <c r="D21" s="1">
        <v>800</v>
      </c>
      <c r="E21" s="19">
        <v>0.08</v>
      </c>
      <c r="F21" s="20">
        <v>736</v>
      </c>
      <c r="H21" s="22">
        <v>113</v>
      </c>
      <c r="I21" s="24" t="s">
        <v>89</v>
      </c>
      <c r="J21" s="26">
        <v>25</v>
      </c>
      <c r="K21" s="27">
        <v>80000</v>
      </c>
      <c r="L21" s="28" t="s">
        <v>57</v>
      </c>
    </row>
    <row r="22" spans="3:12" x14ac:dyDescent="0.3">
      <c r="C22" s="18" t="s">
        <v>74</v>
      </c>
      <c r="D22" s="1">
        <v>1500</v>
      </c>
      <c r="E22" s="19">
        <v>0.12</v>
      </c>
      <c r="F22" s="20">
        <v>1320</v>
      </c>
      <c r="H22" s="22">
        <v>114</v>
      </c>
      <c r="I22" s="24" t="s">
        <v>90</v>
      </c>
      <c r="J22" s="26">
        <v>23</v>
      </c>
      <c r="K22" s="27">
        <v>76000</v>
      </c>
      <c r="L22" s="28" t="s">
        <v>57</v>
      </c>
    </row>
    <row r="23" spans="3:12" x14ac:dyDescent="0.3">
      <c r="H23" s="22">
        <v>115</v>
      </c>
      <c r="I23" s="24" t="s">
        <v>91</v>
      </c>
      <c r="J23" s="26">
        <v>22</v>
      </c>
      <c r="K23" s="27">
        <v>65000</v>
      </c>
      <c r="L23" s="28" t="s">
        <v>57</v>
      </c>
    </row>
  </sheetData>
  <mergeCells count="4">
    <mergeCell ref="A1:C2"/>
    <mergeCell ref="C5:E5"/>
    <mergeCell ref="C17:F17"/>
    <mergeCell ref="H6:L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72E3-E66D-43B0-85D6-FCDF14D5A812}">
  <dimension ref="A1:L27"/>
  <sheetViews>
    <sheetView topLeftCell="D1" workbookViewId="0">
      <selection activeCell="F3" sqref="F3:F20"/>
    </sheetView>
  </sheetViews>
  <sheetFormatPr defaultRowHeight="14.4" x14ac:dyDescent="0.3"/>
  <cols>
    <col min="6" max="6" width="10.33203125" bestFit="1" customWidth="1"/>
    <col min="12" max="12" width="11.109375" bestFit="1" customWidth="1"/>
  </cols>
  <sheetData>
    <row r="1" spans="1:12" ht="15" thickBot="1" x14ac:dyDescent="0.35">
      <c r="A1" s="532" t="s">
        <v>113</v>
      </c>
      <c r="B1" s="533"/>
      <c r="C1" s="533"/>
      <c r="D1" s="533"/>
      <c r="E1" s="533"/>
      <c r="F1" s="533"/>
      <c r="G1" s="533"/>
      <c r="H1" s="533"/>
      <c r="I1" s="533"/>
    </row>
    <row r="2" spans="1:12" ht="15.6" thickTop="1" thickBot="1" x14ac:dyDescent="0.35">
      <c r="B2" s="31">
        <v>1</v>
      </c>
    </row>
    <row r="3" spans="1:12" ht="15.6" thickTop="1" thickBot="1" x14ac:dyDescent="0.35">
      <c r="B3" s="31">
        <v>2</v>
      </c>
      <c r="D3" s="32" t="s">
        <v>102</v>
      </c>
      <c r="F3" s="33">
        <v>46204</v>
      </c>
    </row>
    <row r="4" spans="1:12" ht="15.6" thickTop="1" thickBot="1" x14ac:dyDescent="0.35">
      <c r="B4" s="31">
        <v>3</v>
      </c>
      <c r="D4" s="32" t="s">
        <v>101</v>
      </c>
      <c r="F4" s="33">
        <v>46205</v>
      </c>
      <c r="H4" s="34">
        <v>100</v>
      </c>
      <c r="J4" s="35">
        <v>100</v>
      </c>
    </row>
    <row r="5" spans="1:12" ht="15.6" thickTop="1" thickBot="1" x14ac:dyDescent="0.35">
      <c r="B5" s="31">
        <v>4</v>
      </c>
      <c r="D5" s="32" t="s">
        <v>103</v>
      </c>
      <c r="F5" s="33">
        <v>46206</v>
      </c>
      <c r="H5" s="34">
        <v>230</v>
      </c>
      <c r="J5" s="35">
        <v>230</v>
      </c>
      <c r="L5" s="36">
        <v>46204</v>
      </c>
    </row>
    <row r="6" spans="1:12" ht="15.6" thickTop="1" thickBot="1" x14ac:dyDescent="0.35">
      <c r="B6" s="31">
        <v>5</v>
      </c>
      <c r="D6" s="32" t="s">
        <v>104</v>
      </c>
      <c r="F6" s="33">
        <v>46207</v>
      </c>
      <c r="H6" s="34">
        <v>300</v>
      </c>
      <c r="J6" s="35">
        <v>300</v>
      </c>
      <c r="L6" s="36">
        <v>46205</v>
      </c>
    </row>
    <row r="7" spans="1:12" ht="15.6" thickTop="1" thickBot="1" x14ac:dyDescent="0.35">
      <c r="B7" s="31">
        <v>6</v>
      </c>
      <c r="D7" s="32" t="s">
        <v>105</v>
      </c>
      <c r="F7" s="33">
        <v>46208</v>
      </c>
      <c r="H7" s="34">
        <v>400</v>
      </c>
      <c r="J7" s="35">
        <v>400</v>
      </c>
      <c r="L7" s="36">
        <v>46206</v>
      </c>
    </row>
    <row r="8" spans="1:12" ht="15.6" thickTop="1" thickBot="1" x14ac:dyDescent="0.35">
      <c r="B8" s="31">
        <v>7</v>
      </c>
      <c r="D8" s="32" t="s">
        <v>106</v>
      </c>
      <c r="F8" s="33">
        <v>46209</v>
      </c>
      <c r="H8" s="34">
        <v>360</v>
      </c>
      <c r="J8" s="35">
        <v>360</v>
      </c>
      <c r="L8" s="36">
        <v>46207</v>
      </c>
    </row>
    <row r="9" spans="1:12" ht="15.6" thickTop="1" thickBot="1" x14ac:dyDescent="0.35">
      <c r="B9" s="31">
        <v>8</v>
      </c>
      <c r="D9" s="32" t="s">
        <v>107</v>
      </c>
      <c r="F9" s="33">
        <v>46210</v>
      </c>
      <c r="H9" s="34">
        <v>432</v>
      </c>
      <c r="J9" s="35">
        <v>432</v>
      </c>
      <c r="L9" s="36">
        <v>46208</v>
      </c>
    </row>
    <row r="10" spans="1:12" ht="15.6" thickTop="1" thickBot="1" x14ac:dyDescent="0.35">
      <c r="B10" s="31">
        <v>9</v>
      </c>
      <c r="D10" s="32" t="s">
        <v>108</v>
      </c>
      <c r="F10" s="33">
        <v>46211</v>
      </c>
      <c r="H10" s="34">
        <v>150</v>
      </c>
      <c r="J10" s="35">
        <v>150</v>
      </c>
      <c r="L10" s="36">
        <v>46209</v>
      </c>
    </row>
    <row r="11" spans="1:12" ht="15.6" thickTop="1" thickBot="1" x14ac:dyDescent="0.35">
      <c r="B11" s="31">
        <v>10</v>
      </c>
      <c r="D11" s="32" t="s">
        <v>109</v>
      </c>
      <c r="F11" s="33">
        <v>46212</v>
      </c>
      <c r="H11" s="34">
        <v>300</v>
      </c>
      <c r="J11" s="35">
        <v>300</v>
      </c>
      <c r="L11" s="36">
        <v>46210</v>
      </c>
    </row>
    <row r="12" spans="1:12" ht="15.6" thickTop="1" thickBot="1" x14ac:dyDescent="0.35">
      <c r="B12" s="31">
        <v>11</v>
      </c>
      <c r="D12" s="32" t="s">
        <v>110</v>
      </c>
      <c r="F12" s="33">
        <v>46213</v>
      </c>
      <c r="H12" s="34">
        <v>350</v>
      </c>
      <c r="J12" s="35">
        <v>350</v>
      </c>
      <c r="L12" s="36">
        <v>46211</v>
      </c>
    </row>
    <row r="13" spans="1:12" ht="15.6" thickTop="1" thickBot="1" x14ac:dyDescent="0.35">
      <c r="B13" s="31">
        <v>12</v>
      </c>
      <c r="D13" s="32" t="s">
        <v>111</v>
      </c>
      <c r="F13" s="33">
        <v>46214</v>
      </c>
      <c r="H13" s="34">
        <v>600</v>
      </c>
      <c r="J13" s="35">
        <v>600</v>
      </c>
      <c r="L13" s="36">
        <v>46212</v>
      </c>
    </row>
    <row r="14" spans="1:12" ht="15.6" thickTop="1" thickBot="1" x14ac:dyDescent="0.35">
      <c r="B14" s="31">
        <v>13</v>
      </c>
      <c r="D14" s="32" t="s">
        <v>112</v>
      </c>
      <c r="F14" s="33">
        <v>46215</v>
      </c>
      <c r="L14" s="36">
        <v>46213</v>
      </c>
    </row>
    <row r="15" spans="1:12" ht="15.6" thickTop="1" thickBot="1" x14ac:dyDescent="0.35">
      <c r="B15" s="31">
        <v>14</v>
      </c>
      <c r="F15" s="33">
        <v>46216</v>
      </c>
      <c r="L15" s="36">
        <v>46214</v>
      </c>
    </row>
    <row r="16" spans="1:12" ht="15.6" thickTop="1" thickBot="1" x14ac:dyDescent="0.35">
      <c r="B16" s="31">
        <v>15</v>
      </c>
      <c r="F16" s="33">
        <v>46217</v>
      </c>
      <c r="L16" s="36">
        <v>46215</v>
      </c>
    </row>
    <row r="17" spans="2:12" ht="15.6" thickTop="1" thickBot="1" x14ac:dyDescent="0.35">
      <c r="B17" s="31">
        <v>16</v>
      </c>
      <c r="F17" s="33">
        <v>46218</v>
      </c>
      <c r="L17" s="36">
        <v>46216</v>
      </c>
    </row>
    <row r="18" spans="2:12" ht="15.6" thickTop="1" thickBot="1" x14ac:dyDescent="0.35">
      <c r="B18" s="31">
        <v>17</v>
      </c>
      <c r="F18" s="33">
        <v>46219</v>
      </c>
      <c r="L18" s="36">
        <v>46217</v>
      </c>
    </row>
    <row r="19" spans="2:12" ht="15.6" thickTop="1" thickBot="1" x14ac:dyDescent="0.35">
      <c r="B19" s="31">
        <v>18</v>
      </c>
      <c r="F19" s="33">
        <v>46220</v>
      </c>
      <c r="L19" s="36">
        <v>46218</v>
      </c>
    </row>
    <row r="20" spans="2:12" ht="15.6" thickTop="1" thickBot="1" x14ac:dyDescent="0.35">
      <c r="B20" s="31">
        <v>19</v>
      </c>
      <c r="F20" s="33">
        <v>46221</v>
      </c>
      <c r="L20" s="36">
        <v>46219</v>
      </c>
    </row>
    <row r="21" spans="2:12" ht="15.6" thickTop="1" thickBot="1" x14ac:dyDescent="0.35">
      <c r="B21" s="31">
        <v>20</v>
      </c>
      <c r="L21" s="36">
        <v>46220</v>
      </c>
    </row>
    <row r="22" spans="2:12" ht="15.6" thickTop="1" thickBot="1" x14ac:dyDescent="0.35">
      <c r="B22" s="31">
        <v>21</v>
      </c>
      <c r="L22" s="36">
        <v>46221</v>
      </c>
    </row>
    <row r="23" spans="2:12" ht="15.6" thickTop="1" thickBot="1" x14ac:dyDescent="0.35">
      <c r="B23" s="31">
        <v>22</v>
      </c>
    </row>
    <row r="24" spans="2:12" ht="15.6" thickTop="1" thickBot="1" x14ac:dyDescent="0.35">
      <c r="B24" s="31">
        <v>23</v>
      </c>
    </row>
    <row r="25" spans="2:12" ht="15.6" thickTop="1" thickBot="1" x14ac:dyDescent="0.35">
      <c r="B25" s="31">
        <v>24</v>
      </c>
    </row>
    <row r="26" spans="2:12" ht="15.6" thickTop="1" thickBot="1" x14ac:dyDescent="0.35">
      <c r="B26" s="31">
        <v>25</v>
      </c>
    </row>
    <row r="27" spans="2:12" ht="15" thickTop="1" x14ac:dyDescent="0.3"/>
  </sheetData>
  <mergeCells count="1">
    <mergeCell ref="A1:I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4190-7CB5-401C-8B71-AC95BAD6EF8F}">
  <dimension ref="A2:J21"/>
  <sheetViews>
    <sheetView workbookViewId="0">
      <selection activeCell="O6" sqref="O6"/>
    </sheetView>
  </sheetViews>
  <sheetFormatPr defaultRowHeight="14.4" x14ac:dyDescent="0.3"/>
  <cols>
    <col min="3" max="3" width="10.33203125" bestFit="1" customWidth="1"/>
  </cols>
  <sheetData>
    <row r="2" spans="1:10" ht="15" thickBot="1" x14ac:dyDescent="0.35"/>
    <row r="3" spans="1:10" ht="15.6" thickTop="1" thickBot="1" x14ac:dyDescent="0.35">
      <c r="C3" s="33">
        <v>46221</v>
      </c>
      <c r="D3" s="537" t="s">
        <v>120</v>
      </c>
    </row>
    <row r="4" spans="1:10" ht="15.6" thickTop="1" thickBot="1" x14ac:dyDescent="0.35">
      <c r="C4" s="33">
        <v>46220</v>
      </c>
      <c r="D4" s="537"/>
    </row>
    <row r="5" spans="1:10" ht="15.6" thickTop="1" thickBot="1" x14ac:dyDescent="0.35">
      <c r="A5" s="40"/>
      <c r="C5" s="33">
        <v>46219</v>
      </c>
      <c r="D5" s="537"/>
      <c r="E5" s="35">
        <v>600</v>
      </c>
      <c r="F5" s="536" t="s">
        <v>120</v>
      </c>
      <c r="G5" s="39">
        <v>0.1</v>
      </c>
      <c r="H5" s="534" t="s">
        <v>119</v>
      </c>
      <c r="I5" s="41" t="s">
        <v>114</v>
      </c>
      <c r="J5" s="535" t="s">
        <v>119</v>
      </c>
    </row>
    <row r="6" spans="1:10" ht="15.6" thickTop="1" thickBot="1" x14ac:dyDescent="0.35">
      <c r="A6" s="40"/>
      <c r="C6" s="33">
        <v>46218</v>
      </c>
      <c r="D6" s="537"/>
      <c r="E6" s="35">
        <v>432</v>
      </c>
      <c r="F6" s="536"/>
      <c r="G6" s="38">
        <v>0.3</v>
      </c>
      <c r="H6" s="534"/>
      <c r="I6" s="37" t="s">
        <v>115</v>
      </c>
      <c r="J6" s="535"/>
    </row>
    <row r="7" spans="1:10" ht="15.6" thickTop="1" thickBot="1" x14ac:dyDescent="0.35">
      <c r="A7" s="40"/>
      <c r="C7" s="33">
        <v>46217</v>
      </c>
      <c r="D7" s="537"/>
      <c r="E7" s="35">
        <v>400</v>
      </c>
      <c r="F7" s="536"/>
      <c r="G7" s="38">
        <v>0.34</v>
      </c>
      <c r="H7" s="534"/>
      <c r="I7" s="37" t="s">
        <v>116</v>
      </c>
      <c r="J7" s="535"/>
    </row>
    <row r="8" spans="1:10" ht="15.6" thickTop="1" thickBot="1" x14ac:dyDescent="0.35">
      <c r="A8" s="40"/>
      <c r="C8" s="33">
        <v>46216</v>
      </c>
      <c r="D8" s="537"/>
      <c r="E8" s="35">
        <v>360</v>
      </c>
      <c r="F8" s="536"/>
      <c r="G8" s="38">
        <v>0.43</v>
      </c>
      <c r="H8" s="534"/>
      <c r="I8" s="37" t="s">
        <v>117</v>
      </c>
      <c r="J8" s="535"/>
    </row>
    <row r="9" spans="1:10" ht="15.6" thickTop="1" thickBot="1" x14ac:dyDescent="0.35">
      <c r="A9" s="40"/>
      <c r="C9" s="33">
        <v>46215</v>
      </c>
      <c r="D9" s="537"/>
      <c r="E9" s="35">
        <v>350</v>
      </c>
      <c r="F9" s="536"/>
      <c r="G9" s="38">
        <v>0.45</v>
      </c>
      <c r="H9" s="534"/>
      <c r="I9" s="37" t="s">
        <v>118</v>
      </c>
      <c r="J9" s="535"/>
    </row>
    <row r="10" spans="1:10" ht="15.6" thickTop="1" thickBot="1" x14ac:dyDescent="0.35">
      <c r="A10" s="40"/>
      <c r="C10" s="33">
        <v>46214</v>
      </c>
      <c r="D10" s="537"/>
      <c r="E10" s="35">
        <v>300</v>
      </c>
      <c r="F10" s="536"/>
      <c r="G10" s="38">
        <v>0.5</v>
      </c>
      <c r="H10" s="534"/>
    </row>
    <row r="11" spans="1:10" ht="15.6" thickTop="1" thickBot="1" x14ac:dyDescent="0.35">
      <c r="A11" s="40"/>
      <c r="C11" s="33">
        <v>46213</v>
      </c>
      <c r="D11" s="537"/>
      <c r="E11" s="35">
        <v>300</v>
      </c>
      <c r="F11" s="536"/>
      <c r="G11" s="38">
        <v>0.6</v>
      </c>
      <c r="H11" s="534"/>
    </row>
    <row r="12" spans="1:10" ht="15.6" thickTop="1" thickBot="1" x14ac:dyDescent="0.35">
      <c r="A12" s="40"/>
      <c r="C12" s="33">
        <v>46212</v>
      </c>
      <c r="D12" s="537"/>
      <c r="E12" s="35">
        <v>230</v>
      </c>
      <c r="F12" s="536"/>
      <c r="G12" s="38">
        <v>0.9</v>
      </c>
      <c r="H12" s="534"/>
    </row>
    <row r="13" spans="1:10" ht="15.6" thickTop="1" thickBot="1" x14ac:dyDescent="0.35">
      <c r="A13" s="40"/>
      <c r="C13" s="33">
        <v>46211</v>
      </c>
      <c r="D13" s="537"/>
      <c r="E13" s="35">
        <v>150</v>
      </c>
      <c r="F13" s="536"/>
    </row>
    <row r="14" spans="1:10" ht="15.6" thickTop="1" thickBot="1" x14ac:dyDescent="0.35">
      <c r="A14" s="40"/>
      <c r="C14" s="33">
        <v>46210</v>
      </c>
      <c r="D14" s="537"/>
      <c r="E14" s="35">
        <v>100</v>
      </c>
      <c r="F14" s="536"/>
    </row>
    <row r="15" spans="1:10" ht="15.6" thickTop="1" thickBot="1" x14ac:dyDescent="0.35">
      <c r="A15" s="40"/>
      <c r="C15" s="33">
        <v>46209</v>
      </c>
      <c r="D15" s="537"/>
    </row>
    <row r="16" spans="1:10" ht="15.6" thickTop="1" thickBot="1" x14ac:dyDescent="0.35">
      <c r="A16" s="40"/>
      <c r="C16" s="33">
        <v>46208</v>
      </c>
      <c r="D16" s="537"/>
    </row>
    <row r="17" spans="3:4" ht="15.6" thickTop="1" thickBot="1" x14ac:dyDescent="0.35">
      <c r="C17" s="33">
        <v>46207</v>
      </c>
      <c r="D17" s="537"/>
    </row>
    <row r="18" spans="3:4" ht="15.6" thickTop="1" thickBot="1" x14ac:dyDescent="0.35">
      <c r="C18" s="33">
        <v>46206</v>
      </c>
      <c r="D18" s="537"/>
    </row>
    <row r="19" spans="3:4" ht="15.6" thickTop="1" thickBot="1" x14ac:dyDescent="0.35">
      <c r="C19" s="33">
        <v>46205</v>
      </c>
      <c r="D19" s="537"/>
    </row>
    <row r="20" spans="3:4" ht="15.6" thickTop="1" thickBot="1" x14ac:dyDescent="0.35">
      <c r="C20" s="33">
        <v>46204</v>
      </c>
    </row>
    <row r="21" spans="3:4" ht="15" thickTop="1" x14ac:dyDescent="0.3"/>
  </sheetData>
  <sortState xmlns:xlrd2="http://schemas.microsoft.com/office/spreadsheetml/2017/richdata2" ref="C3:C20">
    <sortCondition descending="1" ref="C3:C20"/>
  </sortState>
  <mergeCells count="4">
    <mergeCell ref="H5:H12"/>
    <mergeCell ref="J5:J9"/>
    <mergeCell ref="F5:F14"/>
    <mergeCell ref="D3:D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0EEC-F602-41FC-A27B-C700CA1265F2}">
  <dimension ref="B3:J38"/>
  <sheetViews>
    <sheetView topLeftCell="AT1" zoomScale="57" workbookViewId="0">
      <selection activeCell="B3" sqref="B3:E23"/>
    </sheetView>
  </sheetViews>
  <sheetFormatPr defaultRowHeight="14.4" x14ac:dyDescent="0.3"/>
  <cols>
    <col min="2" max="2" width="24.109375" customWidth="1"/>
    <col min="3" max="3" width="17.44140625" bestFit="1" customWidth="1"/>
    <col min="4" max="4" width="28" customWidth="1"/>
    <col min="5" max="5" width="12.6640625" customWidth="1"/>
    <col min="9" max="9" width="56.77734375" customWidth="1"/>
    <col min="10" max="10" width="37.77734375" customWidth="1"/>
  </cols>
  <sheetData>
    <row r="3" spans="2:10" ht="18" x14ac:dyDescent="0.3">
      <c r="B3" s="42" t="s">
        <v>121</v>
      </c>
      <c r="C3" s="42" t="s">
        <v>122</v>
      </c>
      <c r="D3" s="63" t="s">
        <v>123</v>
      </c>
      <c r="E3" s="42" t="s">
        <v>124</v>
      </c>
      <c r="I3" s="44" t="s">
        <v>146</v>
      </c>
      <c r="J3" s="43"/>
    </row>
    <row r="4" spans="2:10" ht="16.8" x14ac:dyDescent="0.3">
      <c r="B4" s="57" t="s">
        <v>125</v>
      </c>
      <c r="C4" s="70">
        <v>5000</v>
      </c>
      <c r="D4" s="64">
        <v>45299</v>
      </c>
      <c r="E4" s="57" t="s">
        <v>126</v>
      </c>
      <c r="I4" s="43"/>
      <c r="J4" s="43"/>
    </row>
    <row r="5" spans="2:10" ht="16.8" x14ac:dyDescent="0.3">
      <c r="B5" s="57" t="s">
        <v>127</v>
      </c>
      <c r="C5" s="70">
        <v>6000</v>
      </c>
      <c r="D5" s="64">
        <v>45297</v>
      </c>
      <c r="E5" s="57" t="s">
        <v>128</v>
      </c>
      <c r="I5" s="45">
        <f>SUM(C4:C10)</f>
        <v>55000</v>
      </c>
      <c r="J5" s="538" t="s">
        <v>147</v>
      </c>
    </row>
    <row r="6" spans="2:10" ht="16.8" x14ac:dyDescent="0.3">
      <c r="B6" s="57" t="s">
        <v>129</v>
      </c>
      <c r="C6" s="70">
        <v>7000</v>
      </c>
      <c r="D6" s="64">
        <v>45308</v>
      </c>
      <c r="E6" s="57" t="s">
        <v>128</v>
      </c>
      <c r="I6" s="46">
        <f>C4+C5+C6+C7+C8+C9+C10</f>
        <v>55000</v>
      </c>
      <c r="J6" s="539"/>
    </row>
    <row r="7" spans="2:10" ht="16.8" x14ac:dyDescent="0.3">
      <c r="B7" s="57" t="s">
        <v>130</v>
      </c>
      <c r="C7" s="70">
        <v>8000</v>
      </c>
      <c r="D7" s="64">
        <v>45301</v>
      </c>
      <c r="E7" s="57" t="s">
        <v>128</v>
      </c>
      <c r="I7" s="47"/>
      <c r="J7" s="48"/>
    </row>
    <row r="8" spans="2:10" ht="16.8" x14ac:dyDescent="0.3">
      <c r="B8" s="57" t="s">
        <v>131</v>
      </c>
      <c r="C8" s="70">
        <v>9000</v>
      </c>
      <c r="D8" s="64">
        <v>45297</v>
      </c>
      <c r="E8" s="57" t="s">
        <v>132</v>
      </c>
      <c r="I8" s="45">
        <f>SUM(C4:C23)</f>
        <v>444000</v>
      </c>
      <c r="J8" s="49" t="s">
        <v>148</v>
      </c>
    </row>
    <row r="9" spans="2:10" ht="16.8" x14ac:dyDescent="0.3">
      <c r="B9" s="57" t="s">
        <v>133</v>
      </c>
      <c r="C9" s="70">
        <v>10000</v>
      </c>
      <c r="D9" s="64">
        <v>45292</v>
      </c>
      <c r="E9" s="57" t="s">
        <v>134</v>
      </c>
      <c r="I9" s="43"/>
      <c r="J9" s="43"/>
    </row>
    <row r="10" spans="2:10" ht="16.8" x14ac:dyDescent="0.3">
      <c r="B10" s="57" t="s">
        <v>129</v>
      </c>
      <c r="C10" s="70">
        <v>10000</v>
      </c>
      <c r="D10" s="64">
        <v>45313</v>
      </c>
      <c r="E10" s="57" t="s">
        <v>126</v>
      </c>
      <c r="I10" s="50">
        <f>PRODUCT(C4:C10)</f>
        <v>1.512E+27</v>
      </c>
      <c r="J10" s="49" t="s">
        <v>149</v>
      </c>
    </row>
    <row r="11" spans="2:10" ht="16.8" x14ac:dyDescent="0.3">
      <c r="B11" s="57" t="s">
        <v>135</v>
      </c>
      <c r="C11" s="70">
        <v>15000</v>
      </c>
      <c r="D11" s="64">
        <v>45294</v>
      </c>
      <c r="E11" s="57" t="s">
        <v>134</v>
      </c>
      <c r="I11" s="51"/>
      <c r="J11" s="52"/>
    </row>
    <row r="12" spans="2:10" ht="16.8" x14ac:dyDescent="0.3">
      <c r="B12" s="57" t="s">
        <v>136</v>
      </c>
      <c r="C12" s="70">
        <v>18000</v>
      </c>
      <c r="D12" s="64">
        <v>45310</v>
      </c>
      <c r="E12" s="57" t="s">
        <v>134</v>
      </c>
      <c r="I12" s="53"/>
      <c r="J12" s="43"/>
    </row>
    <row r="13" spans="2:10" ht="16.8" x14ac:dyDescent="0.3">
      <c r="B13" s="57" t="s">
        <v>137</v>
      </c>
      <c r="C13" s="70">
        <v>25000</v>
      </c>
      <c r="D13" s="64">
        <v>45311</v>
      </c>
      <c r="E13" s="57" t="s">
        <v>132</v>
      </c>
      <c r="I13" s="43"/>
      <c r="J13" s="43"/>
    </row>
    <row r="14" spans="2:10" ht="16.8" x14ac:dyDescent="0.3">
      <c r="B14" s="57" t="s">
        <v>138</v>
      </c>
      <c r="C14" s="70">
        <v>25000</v>
      </c>
      <c r="D14" s="64">
        <v>45301</v>
      </c>
      <c r="E14" s="57" t="s">
        <v>134</v>
      </c>
      <c r="I14" s="54">
        <f>C9-C4</f>
        <v>5000</v>
      </c>
      <c r="J14" s="49" t="s">
        <v>150</v>
      </c>
    </row>
    <row r="15" spans="2:10" ht="16.8" x14ac:dyDescent="0.3">
      <c r="B15" s="57" t="s">
        <v>139</v>
      </c>
      <c r="C15" s="70">
        <v>30000</v>
      </c>
      <c r="D15" s="64">
        <v>45306</v>
      </c>
      <c r="E15" s="57" t="s">
        <v>126</v>
      </c>
      <c r="I15" s="55" t="str">
        <f>IMSUB(C10,C4)</f>
        <v>5000</v>
      </c>
      <c r="J15" s="49" t="s">
        <v>150</v>
      </c>
    </row>
    <row r="16" spans="2:10" ht="16.8" x14ac:dyDescent="0.3">
      <c r="B16" s="57" t="s">
        <v>140</v>
      </c>
      <c r="C16" s="70">
        <v>30000</v>
      </c>
      <c r="D16" s="64">
        <v>45304</v>
      </c>
      <c r="E16" s="57" t="s">
        <v>126</v>
      </c>
      <c r="I16" s="43"/>
      <c r="J16" s="43"/>
    </row>
    <row r="17" spans="2:10" ht="16.8" x14ac:dyDescent="0.3">
      <c r="B17" s="57" t="s">
        <v>141</v>
      </c>
      <c r="C17" s="70">
        <v>35000</v>
      </c>
      <c r="D17" s="64">
        <v>45304</v>
      </c>
      <c r="E17" s="57" t="s">
        <v>126</v>
      </c>
      <c r="I17" s="52"/>
      <c r="J17" s="52"/>
    </row>
    <row r="18" spans="2:10" ht="17.399999999999999" thickBot="1" x14ac:dyDescent="0.35">
      <c r="B18" s="57" t="s">
        <v>142</v>
      </c>
      <c r="C18" s="71">
        <v>36000</v>
      </c>
      <c r="D18" s="64">
        <v>45302</v>
      </c>
      <c r="E18" s="57" t="s">
        <v>132</v>
      </c>
      <c r="I18" s="45">
        <f>AVERAGE(C4:C23)</f>
        <v>24666.666666666668</v>
      </c>
      <c r="J18" s="49" t="s">
        <v>151</v>
      </c>
    </row>
    <row r="19" spans="2:10" ht="17.399999999999999" thickBot="1" x14ac:dyDescent="0.35">
      <c r="B19" s="59" t="s">
        <v>143</v>
      </c>
      <c r="C19" s="60"/>
      <c r="D19" s="65">
        <v>45303</v>
      </c>
      <c r="E19" s="57" t="s">
        <v>132</v>
      </c>
      <c r="I19" s="52"/>
      <c r="J19" s="52"/>
    </row>
    <row r="20" spans="2:10" ht="16.8" x14ac:dyDescent="0.3">
      <c r="B20" s="57" t="s">
        <v>125</v>
      </c>
      <c r="C20" s="72">
        <v>45000</v>
      </c>
      <c r="D20" s="64">
        <v>45298</v>
      </c>
      <c r="E20" s="57" t="s">
        <v>128</v>
      </c>
      <c r="I20" s="45">
        <f>MIN(C4:C23)</f>
        <v>5000</v>
      </c>
      <c r="J20" s="49" t="s">
        <v>152</v>
      </c>
    </row>
    <row r="21" spans="2:10" ht="17.399999999999999" thickBot="1" x14ac:dyDescent="0.35">
      <c r="B21" s="57" t="s">
        <v>131</v>
      </c>
      <c r="C21" s="69">
        <v>50000</v>
      </c>
      <c r="D21" s="66">
        <v>45313</v>
      </c>
      <c r="E21" s="58" t="s">
        <v>134</v>
      </c>
      <c r="I21" s="45">
        <f>MAX(C4:C23)</f>
        <v>80000</v>
      </c>
      <c r="J21" s="49" t="s">
        <v>153</v>
      </c>
    </row>
    <row r="22" spans="2:10" ht="17.399999999999999" thickBot="1" x14ac:dyDescent="0.35">
      <c r="B22" s="59" t="s">
        <v>136</v>
      </c>
      <c r="C22" s="73" t="s">
        <v>144</v>
      </c>
      <c r="D22" s="67">
        <v>45295</v>
      </c>
      <c r="E22" s="61" t="s">
        <v>132</v>
      </c>
      <c r="I22" s="49">
        <f>COUNT(C4:C23)</f>
        <v>18</v>
      </c>
      <c r="J22" s="49" t="s">
        <v>154</v>
      </c>
    </row>
    <row r="23" spans="2:10" ht="16.8" x14ac:dyDescent="0.3">
      <c r="B23" s="57" t="s">
        <v>138</v>
      </c>
      <c r="C23" s="72">
        <v>80000</v>
      </c>
      <c r="D23" s="68">
        <v>45296</v>
      </c>
      <c r="E23" s="61" t="s">
        <v>132</v>
      </c>
      <c r="I23" s="49">
        <f>COUNTA(C4:C23)</f>
        <v>19</v>
      </c>
      <c r="J23" s="49" t="s">
        <v>155</v>
      </c>
    </row>
    <row r="24" spans="2:10" ht="46.8" x14ac:dyDescent="0.3">
      <c r="B24" s="74" t="s">
        <v>145</v>
      </c>
      <c r="C24" s="83">
        <f>SUM(C4:C23)</f>
        <v>444000</v>
      </c>
      <c r="D24" s="62"/>
      <c r="E24" s="62"/>
      <c r="I24" s="49">
        <f>COUNTBLANK(C4:C23)</f>
        <v>1</v>
      </c>
      <c r="J24" s="49" t="s">
        <v>156</v>
      </c>
    </row>
    <row r="25" spans="2:10" ht="15.6" x14ac:dyDescent="0.3">
      <c r="I25" s="56"/>
      <c r="J25" s="47"/>
    </row>
    <row r="28" spans="2:10" ht="23.4" x14ac:dyDescent="0.3">
      <c r="D28" s="78" t="s">
        <v>162</v>
      </c>
    </row>
    <row r="29" spans="2:10" ht="18" x14ac:dyDescent="0.35">
      <c r="B29" s="75">
        <v>5000</v>
      </c>
      <c r="C29" s="76">
        <f>B29+B30+B31+B32+B33</f>
        <v>39000</v>
      </c>
      <c r="D29" s="79" t="s">
        <v>157</v>
      </c>
      <c r="E29" s="540" t="s">
        <v>159</v>
      </c>
    </row>
    <row r="30" spans="2:10" ht="21" x14ac:dyDescent="0.4">
      <c r="B30" s="75">
        <v>10000</v>
      </c>
      <c r="C30" s="77">
        <f>5000+6000+7000+8000+9000</f>
        <v>35000</v>
      </c>
      <c r="D30" s="80" t="s">
        <v>158</v>
      </c>
      <c r="E30" s="540"/>
      <c r="I30" s="81" t="s">
        <v>163</v>
      </c>
    </row>
    <row r="31" spans="2:10" ht="21" x14ac:dyDescent="0.4">
      <c r="B31" s="75">
        <v>7000</v>
      </c>
      <c r="C31" s="76">
        <f>B29-B30</f>
        <v>-5000</v>
      </c>
      <c r="D31" s="79" t="s">
        <v>160</v>
      </c>
      <c r="E31" s="540"/>
      <c r="I31" s="81" t="s">
        <v>164</v>
      </c>
    </row>
    <row r="32" spans="2:10" ht="21" x14ac:dyDescent="0.4">
      <c r="B32" s="75">
        <v>8000</v>
      </c>
      <c r="C32" s="77">
        <f>B33/B29</f>
        <v>1.8</v>
      </c>
      <c r="D32" s="79" t="s">
        <v>161</v>
      </c>
      <c r="E32" s="540"/>
      <c r="I32" s="81" t="s">
        <v>165</v>
      </c>
    </row>
    <row r="33" spans="2:9" ht="21" x14ac:dyDescent="0.4">
      <c r="B33" s="75">
        <v>9000</v>
      </c>
      <c r="C33" s="77">
        <f>B29*B30</f>
        <v>50000000</v>
      </c>
      <c r="D33" s="79" t="s">
        <v>160</v>
      </c>
      <c r="E33" s="540"/>
      <c r="I33" s="82" t="s">
        <v>166</v>
      </c>
    </row>
    <row r="34" spans="2:9" ht="21" x14ac:dyDescent="0.4">
      <c r="I34" s="82" t="s">
        <v>167</v>
      </c>
    </row>
    <row r="37" spans="2:9" ht="15.6" x14ac:dyDescent="0.3">
      <c r="I37" s="45">
        <f>SUM(C36:C42)</f>
        <v>0</v>
      </c>
    </row>
    <row r="38" spans="2:9" ht="15.6" x14ac:dyDescent="0.3">
      <c r="I38" s="45">
        <f>SUM(C37:C43)</f>
        <v>0</v>
      </c>
    </row>
  </sheetData>
  <mergeCells count="2">
    <mergeCell ref="J5:J6"/>
    <mergeCell ref="E29:E33"/>
  </mergeCells>
  <pageMargins left="0.7" right="0.7" top="0.75" bottom="0.75" header="0.3" footer="0.3"/>
  <ignoredErrors>
    <ignoredError sqref="I5 I10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A5F4-8917-473B-8B46-2C71AFACCCAD}">
  <dimension ref="D3:N28"/>
  <sheetViews>
    <sheetView topLeftCell="D1" zoomScale="58" workbookViewId="0">
      <selection activeCell="L22" sqref="L22"/>
    </sheetView>
  </sheetViews>
  <sheetFormatPr defaultRowHeight="14.4" x14ac:dyDescent="0.3"/>
  <cols>
    <col min="5" max="5" width="13.109375" customWidth="1"/>
    <col min="7" max="7" width="14.5546875" customWidth="1"/>
    <col min="8" max="8" width="18.77734375" customWidth="1"/>
    <col min="9" max="9" width="13.6640625" customWidth="1"/>
    <col min="10" max="10" width="16.88671875" customWidth="1"/>
    <col min="11" max="11" width="14.6640625" customWidth="1"/>
    <col min="12" max="12" width="12.33203125" customWidth="1"/>
    <col min="13" max="13" width="13.33203125" customWidth="1"/>
    <col min="14" max="14" width="13.21875" customWidth="1"/>
  </cols>
  <sheetData>
    <row r="3" spans="4:14" ht="31.2" x14ac:dyDescent="0.3">
      <c r="D3" s="84" t="s">
        <v>168</v>
      </c>
      <c r="E3" s="84" t="s">
        <v>169</v>
      </c>
      <c r="F3" s="84" t="s">
        <v>170</v>
      </c>
      <c r="G3" s="84" t="s">
        <v>171</v>
      </c>
      <c r="H3" s="84" t="s">
        <v>172</v>
      </c>
      <c r="I3" s="84" t="s">
        <v>173</v>
      </c>
      <c r="J3" s="84" t="s">
        <v>174</v>
      </c>
      <c r="K3" s="84" t="s">
        <v>175</v>
      </c>
      <c r="L3" s="88" t="s">
        <v>176</v>
      </c>
      <c r="M3" s="92" t="s">
        <v>190</v>
      </c>
      <c r="N3" s="90" t="s">
        <v>176</v>
      </c>
    </row>
    <row r="4" spans="4:14" ht="15.6" x14ac:dyDescent="0.3">
      <c r="D4" s="85">
        <v>1</v>
      </c>
      <c r="E4" s="85" t="s">
        <v>177</v>
      </c>
      <c r="F4" s="86">
        <v>10</v>
      </c>
      <c r="G4" s="86">
        <v>100</v>
      </c>
      <c r="H4" s="86">
        <v>90</v>
      </c>
      <c r="I4" s="86">
        <v>200</v>
      </c>
      <c r="J4" s="86">
        <v>300</v>
      </c>
      <c r="K4" s="87">
        <f>(I4/J4)</f>
        <v>0.66666666666666663</v>
      </c>
      <c r="L4" s="89">
        <f>I4/J4*100</f>
        <v>66.666666666666657</v>
      </c>
      <c r="M4" s="93">
        <v>100</v>
      </c>
      <c r="N4" s="91">
        <f>I4/J4*$F$20</f>
        <v>66.666666666666657</v>
      </c>
    </row>
    <row r="5" spans="4:14" ht="15.6" x14ac:dyDescent="0.3">
      <c r="D5" s="85">
        <v>2</v>
      </c>
      <c r="E5" s="85" t="s">
        <v>178</v>
      </c>
      <c r="F5" s="86">
        <v>20</v>
      </c>
      <c r="G5" s="86">
        <v>90</v>
      </c>
      <c r="H5" s="86">
        <v>70</v>
      </c>
      <c r="I5" s="86">
        <v>180</v>
      </c>
      <c r="J5" s="86">
        <v>300</v>
      </c>
      <c r="K5" s="87">
        <f>I5/J5</f>
        <v>0.6</v>
      </c>
      <c r="L5" s="89">
        <f t="shared" ref="L5:L17" si="0">I5/J5*100</f>
        <v>60</v>
      </c>
      <c r="M5" s="93">
        <v>100</v>
      </c>
      <c r="N5" s="91">
        <f t="shared" ref="N5:N17" si="1">I5/J5*$F$20</f>
        <v>60</v>
      </c>
    </row>
    <row r="6" spans="4:14" ht="15.6" x14ac:dyDescent="0.3">
      <c r="D6" s="85">
        <v>3</v>
      </c>
      <c r="E6" s="85" t="s">
        <v>179</v>
      </c>
      <c r="F6" s="86">
        <v>30</v>
      </c>
      <c r="G6" s="86">
        <v>80</v>
      </c>
      <c r="H6" s="86">
        <v>50</v>
      </c>
      <c r="I6" s="86">
        <v>160</v>
      </c>
      <c r="J6" s="86">
        <v>300</v>
      </c>
      <c r="K6" s="87">
        <f>I6/J6</f>
        <v>0.53333333333333333</v>
      </c>
      <c r="L6" s="89">
        <f t="shared" si="0"/>
        <v>53.333333333333336</v>
      </c>
      <c r="M6" s="93">
        <v>100</v>
      </c>
      <c r="N6" s="91">
        <f t="shared" si="1"/>
        <v>53.333333333333336</v>
      </c>
    </row>
    <row r="7" spans="4:14" ht="15.6" x14ac:dyDescent="0.3">
      <c r="D7" s="85">
        <v>4</v>
      </c>
      <c r="E7" s="85" t="s">
        <v>180</v>
      </c>
      <c r="F7" s="86">
        <v>40</v>
      </c>
      <c r="G7" s="86">
        <v>70</v>
      </c>
      <c r="H7" s="86">
        <v>20</v>
      </c>
      <c r="I7" s="86">
        <v>130</v>
      </c>
      <c r="J7" s="86">
        <v>300</v>
      </c>
      <c r="K7" s="87">
        <f>I7/J7</f>
        <v>0.43333333333333335</v>
      </c>
      <c r="L7" s="89">
        <f t="shared" si="0"/>
        <v>43.333333333333336</v>
      </c>
      <c r="M7" s="93">
        <v>100</v>
      </c>
      <c r="N7" s="91">
        <f t="shared" si="1"/>
        <v>43.333333333333336</v>
      </c>
    </row>
    <row r="8" spans="4:14" ht="15.6" x14ac:dyDescent="0.3">
      <c r="D8" s="85">
        <v>5</v>
      </c>
      <c r="E8" s="85" t="s">
        <v>181</v>
      </c>
      <c r="F8" s="86">
        <v>50</v>
      </c>
      <c r="G8" s="86">
        <v>60</v>
      </c>
      <c r="H8" s="86">
        <v>40</v>
      </c>
      <c r="I8" s="86">
        <v>150</v>
      </c>
      <c r="J8" s="86">
        <v>300</v>
      </c>
      <c r="K8" s="87">
        <f>I8/J8</f>
        <v>0.5</v>
      </c>
      <c r="L8" s="89">
        <f t="shared" si="0"/>
        <v>50</v>
      </c>
      <c r="M8" s="93">
        <v>100</v>
      </c>
      <c r="N8" s="91">
        <f t="shared" si="1"/>
        <v>50</v>
      </c>
    </row>
    <row r="9" spans="4:14" ht="15.6" x14ac:dyDescent="0.3">
      <c r="D9" s="85">
        <v>6</v>
      </c>
      <c r="E9" s="85" t="s">
        <v>182</v>
      </c>
      <c r="F9" s="86">
        <v>60</v>
      </c>
      <c r="G9" s="86">
        <v>50</v>
      </c>
      <c r="H9" s="86">
        <v>80</v>
      </c>
      <c r="I9" s="86">
        <v>190</v>
      </c>
      <c r="J9" s="86">
        <v>300</v>
      </c>
      <c r="K9" s="87">
        <f>(I9/J9)</f>
        <v>0.6333333333333333</v>
      </c>
      <c r="L9" s="89">
        <f t="shared" si="0"/>
        <v>63.333333333333329</v>
      </c>
      <c r="M9" s="93">
        <v>100</v>
      </c>
      <c r="N9" s="91">
        <f t="shared" si="1"/>
        <v>63.333333333333329</v>
      </c>
    </row>
    <row r="10" spans="4:14" ht="15.6" x14ac:dyDescent="0.3">
      <c r="D10" s="85">
        <v>7</v>
      </c>
      <c r="E10" s="85" t="s">
        <v>183</v>
      </c>
      <c r="F10" s="86">
        <v>70</v>
      </c>
      <c r="G10" s="86">
        <v>40</v>
      </c>
      <c r="H10" s="86">
        <v>100</v>
      </c>
      <c r="I10" s="86">
        <v>210</v>
      </c>
      <c r="J10" s="86">
        <v>300</v>
      </c>
      <c r="K10" s="87">
        <f>I10/J10</f>
        <v>0.7</v>
      </c>
      <c r="L10" s="89">
        <f t="shared" si="0"/>
        <v>70</v>
      </c>
      <c r="M10" s="93">
        <v>100</v>
      </c>
      <c r="N10" s="91">
        <f t="shared" si="1"/>
        <v>70</v>
      </c>
    </row>
    <row r="11" spans="4:14" ht="15.6" x14ac:dyDescent="0.3">
      <c r="D11" s="85">
        <v>8</v>
      </c>
      <c r="E11" s="85" t="s">
        <v>184</v>
      </c>
      <c r="F11" s="86">
        <v>80</v>
      </c>
      <c r="G11" s="86">
        <v>80</v>
      </c>
      <c r="H11" s="86">
        <v>75</v>
      </c>
      <c r="I11" s="86">
        <v>235</v>
      </c>
      <c r="J11" s="86">
        <v>300</v>
      </c>
      <c r="K11" s="87">
        <f>I11/J11</f>
        <v>0.78333333333333333</v>
      </c>
      <c r="L11" s="89">
        <f t="shared" si="0"/>
        <v>78.333333333333329</v>
      </c>
      <c r="M11" s="93">
        <v>100</v>
      </c>
      <c r="N11" s="91">
        <f t="shared" si="1"/>
        <v>78.333333333333329</v>
      </c>
    </row>
    <row r="12" spans="4:14" ht="15.6" x14ac:dyDescent="0.3">
      <c r="D12" s="85">
        <v>9</v>
      </c>
      <c r="E12" s="85" t="s">
        <v>185</v>
      </c>
      <c r="F12" s="86">
        <v>90</v>
      </c>
      <c r="G12" s="86">
        <v>90</v>
      </c>
      <c r="H12" s="86">
        <v>35</v>
      </c>
      <c r="I12" s="86">
        <v>215</v>
      </c>
      <c r="J12" s="86">
        <v>300</v>
      </c>
      <c r="K12" s="87">
        <f>(I12/J12)</f>
        <v>0.71666666666666667</v>
      </c>
      <c r="L12" s="89">
        <f t="shared" si="0"/>
        <v>71.666666666666671</v>
      </c>
      <c r="M12" s="93">
        <v>100</v>
      </c>
      <c r="N12" s="91">
        <f t="shared" si="1"/>
        <v>71.666666666666671</v>
      </c>
    </row>
    <row r="13" spans="4:14" ht="15.6" x14ac:dyDescent="0.3">
      <c r="D13" s="85">
        <v>10</v>
      </c>
      <c r="E13" s="85" t="s">
        <v>186</v>
      </c>
      <c r="F13" s="86">
        <v>100</v>
      </c>
      <c r="G13" s="86">
        <v>20</v>
      </c>
      <c r="H13" s="86">
        <v>90</v>
      </c>
      <c r="I13" s="86">
        <v>210</v>
      </c>
      <c r="J13" s="86">
        <v>300</v>
      </c>
      <c r="K13" s="87">
        <f>I13/J13</f>
        <v>0.7</v>
      </c>
      <c r="L13" s="89">
        <f t="shared" si="0"/>
        <v>70</v>
      </c>
      <c r="M13" s="93">
        <v>100</v>
      </c>
      <c r="N13" s="91">
        <f t="shared" si="1"/>
        <v>70</v>
      </c>
    </row>
    <row r="14" spans="4:14" ht="15.6" x14ac:dyDescent="0.3">
      <c r="D14" s="85">
        <v>11</v>
      </c>
      <c r="E14" s="85" t="s">
        <v>81</v>
      </c>
      <c r="F14" s="86">
        <v>67</v>
      </c>
      <c r="G14" s="86">
        <v>30</v>
      </c>
      <c r="H14" s="86">
        <v>25</v>
      </c>
      <c r="I14" s="86">
        <v>122</v>
      </c>
      <c r="J14" s="86">
        <v>300</v>
      </c>
      <c r="K14" s="87">
        <f>I14/J14</f>
        <v>0.40666666666666668</v>
      </c>
      <c r="L14" s="89">
        <f t="shared" si="0"/>
        <v>40.666666666666664</v>
      </c>
      <c r="M14" s="93">
        <v>100</v>
      </c>
      <c r="N14" s="91">
        <f t="shared" si="1"/>
        <v>40.666666666666664</v>
      </c>
    </row>
    <row r="15" spans="4:14" ht="15.6" x14ac:dyDescent="0.3">
      <c r="D15" s="85">
        <v>12</v>
      </c>
      <c r="E15" s="85" t="s">
        <v>187</v>
      </c>
      <c r="F15" s="86">
        <v>80</v>
      </c>
      <c r="G15" s="86">
        <v>50</v>
      </c>
      <c r="H15" s="86">
        <v>85</v>
      </c>
      <c r="I15" s="86">
        <v>215</v>
      </c>
      <c r="J15" s="86">
        <v>300</v>
      </c>
      <c r="K15" s="87">
        <f>I15/J15</f>
        <v>0.71666666666666667</v>
      </c>
      <c r="L15" s="89">
        <f t="shared" si="0"/>
        <v>71.666666666666671</v>
      </c>
      <c r="M15" s="93">
        <v>100</v>
      </c>
      <c r="N15" s="91">
        <f t="shared" si="1"/>
        <v>71.666666666666671</v>
      </c>
    </row>
    <row r="16" spans="4:14" ht="15.6" x14ac:dyDescent="0.3">
      <c r="D16" s="85">
        <v>13</v>
      </c>
      <c r="E16" s="85" t="s">
        <v>188</v>
      </c>
      <c r="F16" s="86">
        <v>90</v>
      </c>
      <c r="G16" s="86">
        <v>100</v>
      </c>
      <c r="H16" s="86">
        <v>50</v>
      </c>
      <c r="I16" s="86">
        <v>240</v>
      </c>
      <c r="J16" s="86">
        <v>300</v>
      </c>
      <c r="K16" s="87">
        <f>I16/J16</f>
        <v>0.8</v>
      </c>
      <c r="L16" s="89">
        <f t="shared" si="0"/>
        <v>80</v>
      </c>
      <c r="M16" s="93">
        <v>100</v>
      </c>
      <c r="N16" s="91">
        <f t="shared" si="1"/>
        <v>80</v>
      </c>
    </row>
    <row r="17" spans="4:14" ht="15.6" x14ac:dyDescent="0.3">
      <c r="D17" s="85">
        <v>14</v>
      </c>
      <c r="E17" s="85" t="s">
        <v>189</v>
      </c>
      <c r="F17" s="86">
        <v>40</v>
      </c>
      <c r="G17" s="86">
        <v>70</v>
      </c>
      <c r="H17" s="86">
        <v>60</v>
      </c>
      <c r="I17" s="86">
        <v>170</v>
      </c>
      <c r="J17" s="86">
        <v>300</v>
      </c>
      <c r="K17" s="87">
        <f>(I17/J17)</f>
        <v>0.56666666666666665</v>
      </c>
      <c r="L17" s="89">
        <f t="shared" si="0"/>
        <v>56.666666666666664</v>
      </c>
      <c r="M17" s="93">
        <v>100</v>
      </c>
      <c r="N17" s="91">
        <f t="shared" si="1"/>
        <v>56.666666666666664</v>
      </c>
    </row>
    <row r="19" spans="4:14" ht="15" thickBot="1" x14ac:dyDescent="0.35"/>
    <row r="20" spans="4:14" ht="16.2" thickBot="1" x14ac:dyDescent="0.35">
      <c r="E20" s="95" t="s">
        <v>191</v>
      </c>
      <c r="F20" s="94">
        <v>100</v>
      </c>
    </row>
    <row r="21" spans="4:14" ht="15" thickBot="1" x14ac:dyDescent="0.35"/>
    <row r="22" spans="4:14" ht="16.2" thickBot="1" x14ac:dyDescent="0.35">
      <c r="H22" s="84" t="s">
        <v>173</v>
      </c>
      <c r="I22" s="84" t="s">
        <v>174</v>
      </c>
      <c r="J22" s="99" t="s">
        <v>176</v>
      </c>
      <c r="K22" s="100" t="s">
        <v>176</v>
      </c>
      <c r="L22" s="98" t="s">
        <v>191</v>
      </c>
      <c r="M22" s="97">
        <v>100</v>
      </c>
    </row>
    <row r="23" spans="4:14" ht="15.6" x14ac:dyDescent="0.3">
      <c r="H23" s="86">
        <v>210</v>
      </c>
      <c r="I23" s="86">
        <v>300</v>
      </c>
      <c r="J23" s="101">
        <f>H23/I23</f>
        <v>0.7</v>
      </c>
      <c r="K23" s="102">
        <f>H23/I23*$M$22</f>
        <v>70</v>
      </c>
    </row>
    <row r="24" spans="4:14" ht="15.6" x14ac:dyDescent="0.3">
      <c r="H24" s="86">
        <v>122</v>
      </c>
      <c r="I24" s="86">
        <v>300</v>
      </c>
      <c r="J24" s="101">
        <f>H24/I24</f>
        <v>0.40666666666666668</v>
      </c>
      <c r="K24" s="102">
        <f t="shared" ref="K24:K27" si="2">H24/I24*$M$22</f>
        <v>40.666666666666664</v>
      </c>
    </row>
    <row r="25" spans="4:14" ht="15.6" x14ac:dyDescent="0.3">
      <c r="H25" s="86">
        <v>215</v>
      </c>
      <c r="I25" s="86">
        <v>300</v>
      </c>
      <c r="J25" s="101">
        <f t="shared" ref="J25:J27" si="3">H25/I25</f>
        <v>0.71666666666666667</v>
      </c>
      <c r="K25" s="102">
        <f t="shared" si="2"/>
        <v>71.666666666666671</v>
      </c>
    </row>
    <row r="26" spans="4:14" ht="15.6" x14ac:dyDescent="0.3">
      <c r="H26" s="86">
        <v>240</v>
      </c>
      <c r="I26" s="86">
        <v>300</v>
      </c>
      <c r="J26" s="101">
        <f t="shared" si="3"/>
        <v>0.8</v>
      </c>
      <c r="K26" s="102">
        <f t="shared" si="2"/>
        <v>80</v>
      </c>
    </row>
    <row r="27" spans="4:14" ht="15.6" x14ac:dyDescent="0.3">
      <c r="H27" s="86">
        <v>170</v>
      </c>
      <c r="I27" s="86">
        <v>300</v>
      </c>
      <c r="J27" s="101">
        <f t="shared" si="3"/>
        <v>0.56666666666666665</v>
      </c>
      <c r="K27" s="102">
        <f t="shared" si="2"/>
        <v>56.666666666666664</v>
      </c>
    </row>
    <row r="28" spans="4:14" x14ac:dyDescent="0.3">
      <c r="J28" s="9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58600-DE18-43D3-8E17-578B05CFDD12}">
  <dimension ref="C4:I47"/>
  <sheetViews>
    <sheetView topLeftCell="B22" zoomScale="62" workbookViewId="0">
      <selection activeCell="H27" sqref="H27"/>
    </sheetView>
  </sheetViews>
  <sheetFormatPr defaultRowHeight="14.4" x14ac:dyDescent="0.3"/>
  <cols>
    <col min="3" max="3" width="25.6640625" customWidth="1"/>
    <col min="4" max="4" width="36" customWidth="1"/>
    <col min="5" max="5" width="28.6640625" customWidth="1"/>
    <col min="6" max="6" width="23.44140625" customWidth="1"/>
    <col min="7" max="7" width="20.109375" customWidth="1"/>
    <col min="8" max="8" width="21.109375" customWidth="1"/>
    <col min="9" max="9" width="23.44140625" customWidth="1"/>
  </cols>
  <sheetData>
    <row r="4" spans="3:9" ht="17.399999999999999" x14ac:dyDescent="0.3">
      <c r="C4" s="105" t="s">
        <v>192</v>
      </c>
      <c r="D4" s="105" t="s">
        <v>193</v>
      </c>
      <c r="E4" s="105" t="s">
        <v>194</v>
      </c>
      <c r="F4" s="105" t="s">
        <v>195</v>
      </c>
      <c r="G4" s="105" t="s">
        <v>196</v>
      </c>
      <c r="H4" s="105" t="s">
        <v>197</v>
      </c>
      <c r="I4" s="105" t="s">
        <v>198</v>
      </c>
    </row>
    <row r="5" spans="3:9" ht="17.399999999999999" x14ac:dyDescent="0.3">
      <c r="C5" s="106" t="s">
        <v>199</v>
      </c>
      <c r="D5" s="106" t="str">
        <f>UPPER(C5)</f>
        <v>ANANYA SHROFF</v>
      </c>
      <c r="E5" s="106" t="str">
        <f>LOWER(C5)</f>
        <v>ananya shroff</v>
      </c>
      <c r="F5" s="106" t="str">
        <f>PROPER(E5)</f>
        <v>Ananya Shroff</v>
      </c>
      <c r="G5" s="106" t="str">
        <f>LEFT(C5,5)</f>
        <v>Anany</v>
      </c>
      <c r="H5" s="106" t="str">
        <f>RIGHT(F5,3)</f>
        <v>off</v>
      </c>
      <c r="I5" s="106" t="str">
        <f>MID(F5,7,10)</f>
        <v xml:space="preserve"> Shroff</v>
      </c>
    </row>
    <row r="6" spans="3:9" ht="17.399999999999999" x14ac:dyDescent="0.3">
      <c r="C6" s="106" t="s">
        <v>200</v>
      </c>
      <c r="D6" s="106" t="str">
        <f>UPPER(C6)</f>
        <v>AROHI SHARMA</v>
      </c>
      <c r="E6" s="106" t="str">
        <f>LOWER(C6)</f>
        <v>arohi sharma</v>
      </c>
      <c r="F6" s="106" t="str">
        <f>PROPER(E6)</f>
        <v>Arohi Sharma</v>
      </c>
      <c r="G6" s="106" t="str">
        <f t="shared" ref="G6:G13" si="0">LEFT(C6,5)</f>
        <v>Arohi</v>
      </c>
      <c r="H6" s="106" t="str">
        <f>RIGHT(F6,4)</f>
        <v>arma</v>
      </c>
      <c r="I6" s="106" t="str">
        <f>MID(F6,2,12)</f>
        <v>rohi Sharma</v>
      </c>
    </row>
    <row r="7" spans="3:9" ht="33.6" customHeight="1" x14ac:dyDescent="0.3">
      <c r="C7" s="106" t="s">
        <v>201</v>
      </c>
      <c r="D7" s="106" t="str">
        <f t="shared" ref="D7:D13" si="1">UPPER(C7)</f>
        <v>MOHANDAS KARAMCHAND GANDHI</v>
      </c>
      <c r="E7" s="106" t="str">
        <f t="shared" ref="E7:E13" si="2">LOWER(C7)</f>
        <v>mohandas karamchand gandhi</v>
      </c>
      <c r="F7" s="106" t="str">
        <f t="shared" ref="F7:F13" si="3">PROPER(E7)</f>
        <v>Mohandas Karamchand Gandhi</v>
      </c>
      <c r="G7" s="106" t="str">
        <f t="shared" si="0"/>
        <v>Mohan</v>
      </c>
      <c r="H7" s="106" t="str">
        <f t="shared" ref="H7" si="4">RIGHT(F7,3)</f>
        <v>dhi</v>
      </c>
      <c r="I7" s="106" t="str">
        <f>MID(F7,10,26)</f>
        <v>Karamchand Gandhi</v>
      </c>
    </row>
    <row r="8" spans="3:9" ht="17.399999999999999" x14ac:dyDescent="0.3">
      <c r="C8" s="106" t="s">
        <v>202</v>
      </c>
      <c r="D8" s="106" t="str">
        <f t="shared" si="1"/>
        <v>MILIND KUMAR KALRA</v>
      </c>
      <c r="E8" s="106" t="str">
        <f t="shared" si="2"/>
        <v>milind kumar kalra</v>
      </c>
      <c r="F8" s="106" t="str">
        <f t="shared" si="3"/>
        <v>Milind Kumar Kalra</v>
      </c>
      <c r="G8" s="106" t="str">
        <f t="shared" si="0"/>
        <v>Milin</v>
      </c>
      <c r="H8" s="106" t="str">
        <f t="shared" ref="H8" si="5">RIGHT(F8,4)</f>
        <v>alra</v>
      </c>
      <c r="I8" s="106" t="str">
        <f t="shared" ref="I8:I13" si="6">MID(F8,10,26)</f>
        <v>mar Kalra</v>
      </c>
    </row>
    <row r="9" spans="3:9" ht="17.399999999999999" x14ac:dyDescent="0.3">
      <c r="C9" s="106" t="s">
        <v>203</v>
      </c>
      <c r="D9" s="106" t="str">
        <f t="shared" si="1"/>
        <v>ANSHU POONAWALA</v>
      </c>
      <c r="E9" s="106" t="str">
        <f t="shared" si="2"/>
        <v>anshu poonawala</v>
      </c>
      <c r="F9" s="106" t="str">
        <f t="shared" si="3"/>
        <v>Anshu Poonawala</v>
      </c>
      <c r="G9" s="106" t="str">
        <f t="shared" si="0"/>
        <v>Anshu</v>
      </c>
      <c r="H9" s="106" t="str">
        <f t="shared" ref="H9" si="7">RIGHT(F9,3)</f>
        <v>ala</v>
      </c>
      <c r="I9" s="106" t="str">
        <f t="shared" si="6"/>
        <v>nawala</v>
      </c>
    </row>
    <row r="10" spans="3:9" ht="17.399999999999999" x14ac:dyDescent="0.3">
      <c r="C10" s="106" t="s">
        <v>204</v>
      </c>
      <c r="D10" s="106" t="str">
        <f t="shared" si="1"/>
        <v>RAHUL SINGH SHARMA</v>
      </c>
      <c r="E10" s="106" t="str">
        <f t="shared" si="2"/>
        <v>rahul singh sharma</v>
      </c>
      <c r="F10" s="106" t="str">
        <f t="shared" si="3"/>
        <v>Rahul Singh Sharma</v>
      </c>
      <c r="G10" s="106" t="str">
        <f t="shared" si="0"/>
        <v>Rahul</v>
      </c>
      <c r="H10" s="106" t="str">
        <f t="shared" ref="H10" si="8">RIGHT(F10,4)</f>
        <v>arma</v>
      </c>
      <c r="I10" s="106" t="str">
        <f t="shared" si="6"/>
        <v>gh Sharma</v>
      </c>
    </row>
    <row r="11" spans="3:9" ht="17.399999999999999" x14ac:dyDescent="0.3">
      <c r="C11" s="106" t="s">
        <v>205</v>
      </c>
      <c r="D11" s="106" t="str">
        <f t="shared" si="1"/>
        <v>NEIL ARMSTRONG</v>
      </c>
      <c r="E11" s="106" t="str">
        <f t="shared" si="2"/>
        <v>neil armstrong</v>
      </c>
      <c r="F11" s="106" t="str">
        <f t="shared" si="3"/>
        <v>Neil Armstrong</v>
      </c>
      <c r="G11" s="106" t="str">
        <f t="shared" si="0"/>
        <v xml:space="preserve">Neil </v>
      </c>
      <c r="H11" s="106" t="str">
        <f t="shared" ref="H11" si="9">RIGHT(F11,3)</f>
        <v>ong</v>
      </c>
      <c r="I11" s="106" t="str">
        <f t="shared" si="6"/>
        <v>trong</v>
      </c>
    </row>
    <row r="12" spans="3:9" ht="17.399999999999999" x14ac:dyDescent="0.3">
      <c r="C12" s="106" t="s">
        <v>206</v>
      </c>
      <c r="D12" s="106" t="str">
        <f t="shared" si="1"/>
        <v>AVNISH AGRAWAL</v>
      </c>
      <c r="E12" s="106" t="str">
        <f t="shared" si="2"/>
        <v>avnish agrawal</v>
      </c>
      <c r="F12" s="106" t="str">
        <f t="shared" si="3"/>
        <v>Avnish Agrawal</v>
      </c>
      <c r="G12" s="106" t="str">
        <f t="shared" si="0"/>
        <v>Avnis</v>
      </c>
      <c r="H12" s="106" t="str">
        <f t="shared" ref="H12" si="10">RIGHT(F12,4)</f>
        <v>awal</v>
      </c>
      <c r="I12" s="106" t="str">
        <f t="shared" si="6"/>
        <v>rawal</v>
      </c>
    </row>
    <row r="13" spans="3:9" ht="17.399999999999999" x14ac:dyDescent="0.3">
      <c r="C13" s="106" t="s">
        <v>207</v>
      </c>
      <c r="D13" s="106" t="str">
        <f t="shared" si="1"/>
        <v>SHASHANK KHAN</v>
      </c>
      <c r="E13" s="106" t="str">
        <f t="shared" si="2"/>
        <v>shashank khan</v>
      </c>
      <c r="F13" s="106" t="str">
        <f t="shared" si="3"/>
        <v>Shashank Khan</v>
      </c>
      <c r="G13" s="106" t="str">
        <f t="shared" si="0"/>
        <v>Shash</v>
      </c>
      <c r="H13" s="106" t="str">
        <f t="shared" ref="H13" si="11">RIGHT(F13,3)</f>
        <v>han</v>
      </c>
      <c r="I13" s="106" t="str">
        <f t="shared" si="6"/>
        <v>Khan</v>
      </c>
    </row>
    <row r="14" spans="3:9" ht="17.399999999999999" x14ac:dyDescent="0.3">
      <c r="C14" s="104"/>
      <c r="D14" s="104"/>
      <c r="E14" s="104"/>
      <c r="F14" s="104"/>
      <c r="G14" s="104"/>
      <c r="H14" s="104"/>
      <c r="I14" s="104"/>
    </row>
    <row r="15" spans="3:9" ht="17.399999999999999" x14ac:dyDescent="0.3">
      <c r="C15" s="104"/>
      <c r="D15" s="104"/>
      <c r="E15" s="104"/>
      <c r="F15" s="104"/>
      <c r="G15" s="104"/>
      <c r="H15" s="104"/>
      <c r="I15" s="104"/>
    </row>
    <row r="16" spans="3:9" ht="18" thickBot="1" x14ac:dyDescent="0.35">
      <c r="C16" s="104"/>
      <c r="D16" s="104"/>
      <c r="E16" s="104"/>
      <c r="F16" s="104"/>
      <c r="G16" s="107"/>
      <c r="H16" s="104"/>
      <c r="I16" s="104"/>
    </row>
    <row r="17" spans="3:9" ht="35.4" thickTop="1" x14ac:dyDescent="0.3">
      <c r="C17" s="105" t="s">
        <v>192</v>
      </c>
      <c r="D17" s="105" t="s">
        <v>208</v>
      </c>
      <c r="E17" s="105" t="s">
        <v>209</v>
      </c>
      <c r="F17" s="105" t="s">
        <v>208</v>
      </c>
      <c r="G17" s="105" t="s">
        <v>210</v>
      </c>
      <c r="H17" s="108" t="s">
        <v>211</v>
      </c>
      <c r="I17" s="104"/>
    </row>
    <row r="18" spans="3:9" ht="17.399999999999999" x14ac:dyDescent="0.3">
      <c r="C18" s="103" t="s">
        <v>212</v>
      </c>
      <c r="D18" s="106">
        <f>LEN(C18)</f>
        <v>17</v>
      </c>
      <c r="E18" s="106" t="str">
        <f>TRIM(C18)</f>
        <v>Ananya Pandey</v>
      </c>
      <c r="F18" s="106">
        <f>LEN(E18)</f>
        <v>13</v>
      </c>
      <c r="G18" s="106">
        <f>FIND("an",E18)</f>
        <v>3</v>
      </c>
      <c r="H18" s="106">
        <f>SEARCH("an",E18)</f>
        <v>1</v>
      </c>
      <c r="I18" s="104"/>
    </row>
    <row r="19" spans="3:9" ht="17.399999999999999" x14ac:dyDescent="0.3">
      <c r="C19" s="106" t="s">
        <v>231</v>
      </c>
      <c r="D19" s="106">
        <f>LEN(C19)</f>
        <v>13</v>
      </c>
      <c r="E19" s="106" t="str">
        <f>TRIM(C19)</f>
        <v>Arohi Sharma</v>
      </c>
      <c r="F19" s="106">
        <f>LEN(E19)</f>
        <v>12</v>
      </c>
      <c r="G19" s="106">
        <f>FIND("a",E19)</f>
        <v>9</v>
      </c>
      <c r="H19" s="106">
        <f>SEARCH("ar",E19)</f>
        <v>1</v>
      </c>
      <c r="I19" s="104"/>
    </row>
    <row r="20" spans="3:9" ht="52.2" x14ac:dyDescent="0.3">
      <c r="C20" s="106" t="s">
        <v>213</v>
      </c>
      <c r="D20" s="106">
        <f t="shared" ref="D20:D26" si="12">LEN(C20)</f>
        <v>33</v>
      </c>
      <c r="E20" s="106" t="str">
        <f t="shared" ref="E20:E26" si="13">TRIM(C20)</f>
        <v>Mohandas Karamchand G andhi</v>
      </c>
      <c r="F20" s="106">
        <f t="shared" ref="F20:F26" si="14">LEN(E20)</f>
        <v>27</v>
      </c>
      <c r="G20" s="106" t="e">
        <f>FIND("An",E20)</f>
        <v>#VALUE!</v>
      </c>
      <c r="H20" s="106">
        <f>SEARCH("An",E20)</f>
        <v>4</v>
      </c>
      <c r="I20" s="104"/>
    </row>
    <row r="21" spans="3:9" ht="17.399999999999999" x14ac:dyDescent="0.3">
      <c r="C21" s="106" t="s">
        <v>214</v>
      </c>
      <c r="D21" s="106">
        <f t="shared" si="12"/>
        <v>27</v>
      </c>
      <c r="E21" s="106" t="str">
        <f t="shared" si="13"/>
        <v>Milind Kalra</v>
      </c>
      <c r="F21" s="106">
        <f t="shared" si="14"/>
        <v>12</v>
      </c>
      <c r="G21" s="109">
        <f>FIND("i",E21)</f>
        <v>2</v>
      </c>
      <c r="H21" s="109">
        <f>SEARCH("I",E21)</f>
        <v>2</v>
      </c>
      <c r="I21" s="104"/>
    </row>
    <row r="22" spans="3:9" ht="34.799999999999997" x14ac:dyDescent="0.3">
      <c r="C22" s="106" t="s">
        <v>215</v>
      </c>
      <c r="D22" s="106">
        <f t="shared" si="12"/>
        <v>30</v>
      </c>
      <c r="E22" s="106" t="str">
        <f t="shared" si="13"/>
        <v>Anshu Poonawala</v>
      </c>
      <c r="F22" s="106">
        <f t="shared" si="14"/>
        <v>15</v>
      </c>
      <c r="G22" s="109">
        <f>FIND("n",E22)</f>
        <v>2</v>
      </c>
      <c r="H22" s="109">
        <f>SEARCH("u",E22)</f>
        <v>5</v>
      </c>
      <c r="I22" s="104"/>
    </row>
    <row r="23" spans="3:9" ht="17.399999999999999" x14ac:dyDescent="0.3">
      <c r="C23" s="106" t="s">
        <v>216</v>
      </c>
      <c r="D23" s="106">
        <f t="shared" si="12"/>
        <v>24</v>
      </c>
      <c r="E23" s="106" t="str">
        <f t="shared" si="13"/>
        <v>Rahul Singh Sharma</v>
      </c>
      <c r="F23" s="106">
        <f t="shared" si="14"/>
        <v>18</v>
      </c>
      <c r="G23" s="109">
        <f>FIND("h",E23)</f>
        <v>3</v>
      </c>
      <c r="H23" s="109">
        <f>SEARCH("I",E23)</f>
        <v>8</v>
      </c>
      <c r="I23" s="104"/>
    </row>
    <row r="24" spans="3:9" ht="17.399999999999999" x14ac:dyDescent="0.3">
      <c r="C24" s="106" t="s">
        <v>217</v>
      </c>
      <c r="D24" s="106">
        <f t="shared" si="12"/>
        <v>18</v>
      </c>
      <c r="E24" s="106" t="str">
        <f t="shared" si="13"/>
        <v>Neil Armstrong</v>
      </c>
      <c r="F24" s="106">
        <f t="shared" si="14"/>
        <v>14</v>
      </c>
      <c r="G24" s="109">
        <f>FIND("e",E24)</f>
        <v>2</v>
      </c>
      <c r="H24" s="109">
        <f>SEARCH("e",E24)</f>
        <v>2</v>
      </c>
      <c r="I24" s="104"/>
    </row>
    <row r="25" spans="3:9" ht="17.399999999999999" x14ac:dyDescent="0.3">
      <c r="C25" s="106" t="s">
        <v>206</v>
      </c>
      <c r="D25" s="106">
        <f t="shared" si="12"/>
        <v>14</v>
      </c>
      <c r="E25" s="106" t="str">
        <f t="shared" si="13"/>
        <v>Avnish Agrawal</v>
      </c>
      <c r="F25" s="106">
        <f t="shared" si="14"/>
        <v>14</v>
      </c>
      <c r="G25" s="109">
        <f>FIND("A",E25)</f>
        <v>1</v>
      </c>
      <c r="H25" s="109">
        <f>SEARCH("A",E25)</f>
        <v>1</v>
      </c>
      <c r="I25" s="104"/>
    </row>
    <row r="26" spans="3:9" ht="17.399999999999999" x14ac:dyDescent="0.3">
      <c r="C26" s="106" t="s">
        <v>218</v>
      </c>
      <c r="D26" s="106">
        <f t="shared" si="12"/>
        <v>18</v>
      </c>
      <c r="E26" s="106" t="str">
        <f t="shared" si="13"/>
        <v>Shashank Khan</v>
      </c>
      <c r="F26" s="106">
        <f t="shared" si="14"/>
        <v>13</v>
      </c>
      <c r="G26" s="109">
        <f>FIND("S",E26)</f>
        <v>1</v>
      </c>
      <c r="H26" s="109">
        <f>SEARCH("S",E26)</f>
        <v>1</v>
      </c>
      <c r="I26" s="104"/>
    </row>
    <row r="27" spans="3:9" ht="17.399999999999999" x14ac:dyDescent="0.3">
      <c r="C27" s="104"/>
      <c r="D27" s="104"/>
      <c r="E27" s="104"/>
      <c r="F27" s="104"/>
      <c r="G27" s="104"/>
      <c r="H27" s="104"/>
      <c r="I27" s="104"/>
    </row>
    <row r="28" spans="3:9" ht="17.399999999999999" x14ac:dyDescent="0.3">
      <c r="C28" s="106"/>
      <c r="D28" s="104"/>
      <c r="E28" s="104"/>
      <c r="F28" s="104"/>
      <c r="G28" s="104"/>
      <c r="H28" s="104"/>
      <c r="I28" s="104"/>
    </row>
    <row r="29" spans="3:9" ht="17.399999999999999" x14ac:dyDescent="0.3">
      <c r="C29" s="104"/>
      <c r="D29" s="105" t="s">
        <v>192</v>
      </c>
      <c r="E29" s="105" t="s">
        <v>219</v>
      </c>
      <c r="F29" s="105" t="s">
        <v>220</v>
      </c>
      <c r="G29" s="104"/>
      <c r="H29" s="104"/>
      <c r="I29" s="104"/>
    </row>
    <row r="30" spans="3:9" ht="17.399999999999999" x14ac:dyDescent="0.3">
      <c r="C30" s="104"/>
      <c r="D30" s="106" t="s">
        <v>221</v>
      </c>
      <c r="E30" s="106" t="str">
        <f>SUBSTITUTE(D30,"an","sa")</f>
        <v>Ansaya Psadey</v>
      </c>
      <c r="F30" s="106" t="str">
        <f>REPLACE(E30,1,3,"an")</f>
        <v>anaya Psadey</v>
      </c>
      <c r="G30" s="104"/>
      <c r="H30" s="104"/>
      <c r="I30" s="104"/>
    </row>
    <row r="31" spans="3:9" ht="17.399999999999999" x14ac:dyDescent="0.3">
      <c r="C31" s="104"/>
      <c r="D31" s="106" t="s">
        <v>200</v>
      </c>
      <c r="E31" s="106" t="str">
        <f>SUBSTITUTE(D31,"rohi","ana")</f>
        <v>Aana Sharma</v>
      </c>
      <c r="F31" s="106" t="str">
        <f>REPLACE("ana",1,3,"rohi")</f>
        <v>rohi</v>
      </c>
      <c r="G31" s="104" t="s">
        <v>232</v>
      </c>
      <c r="H31" s="104"/>
      <c r="I31" s="104"/>
    </row>
    <row r="32" spans="3:9" ht="34.799999999999997" x14ac:dyDescent="0.3">
      <c r="C32" s="104"/>
      <c r="D32" s="106" t="s">
        <v>201</v>
      </c>
      <c r="E32" s="106" t="str">
        <f>SUBSTITUTE(D32,"nd","tul",2)</f>
        <v>Mohandas Karamchatul Gandhi</v>
      </c>
      <c r="F32" s="106" t="str">
        <f>REPLACE(E32,17,3,"tu")</f>
        <v>Mohandas Karamchtul Gandhi</v>
      </c>
      <c r="G32" s="104" t="s">
        <v>233</v>
      </c>
      <c r="H32" s="104"/>
      <c r="I32" s="104"/>
    </row>
    <row r="33" spans="3:9" ht="17.399999999999999" x14ac:dyDescent="0.3">
      <c r="C33" s="104"/>
      <c r="D33" s="106" t="s">
        <v>202</v>
      </c>
      <c r="E33" s="109"/>
      <c r="F33" s="109"/>
      <c r="G33" s="104"/>
      <c r="H33" s="104"/>
      <c r="I33" s="104"/>
    </row>
    <row r="34" spans="3:9" ht="17.399999999999999" x14ac:dyDescent="0.3">
      <c r="C34" s="104"/>
      <c r="D34" s="106" t="s">
        <v>203</v>
      </c>
      <c r="E34" s="109"/>
      <c r="F34" s="109"/>
      <c r="G34" s="104"/>
      <c r="H34" s="104"/>
      <c r="I34" s="104"/>
    </row>
    <row r="35" spans="3:9" ht="17.399999999999999" x14ac:dyDescent="0.3">
      <c r="C35" s="104"/>
      <c r="D35" s="106" t="s">
        <v>204</v>
      </c>
      <c r="E35" s="109"/>
      <c r="F35" s="109"/>
      <c r="G35" s="104"/>
      <c r="H35" s="104"/>
      <c r="I35" s="104"/>
    </row>
    <row r="36" spans="3:9" ht="17.399999999999999" x14ac:dyDescent="0.3">
      <c r="C36" s="104"/>
      <c r="D36" s="106" t="s">
        <v>205</v>
      </c>
      <c r="E36" s="109"/>
      <c r="F36" s="109"/>
      <c r="G36" s="104"/>
      <c r="H36" s="104"/>
      <c r="I36" s="104"/>
    </row>
    <row r="37" spans="3:9" ht="17.399999999999999" x14ac:dyDescent="0.3">
      <c r="C37" s="104"/>
      <c r="D37" s="106" t="s">
        <v>206</v>
      </c>
      <c r="E37" s="109"/>
      <c r="F37" s="109"/>
      <c r="G37" s="104"/>
      <c r="H37" s="104"/>
      <c r="I37" s="104"/>
    </row>
    <row r="38" spans="3:9" ht="17.399999999999999" x14ac:dyDescent="0.3">
      <c r="C38" s="104"/>
      <c r="D38" s="106" t="s">
        <v>207</v>
      </c>
      <c r="E38" s="109"/>
      <c r="F38" s="109"/>
      <c r="G38" s="104"/>
      <c r="H38" s="104"/>
      <c r="I38" s="104"/>
    </row>
    <row r="39" spans="3:9" ht="17.399999999999999" x14ac:dyDescent="0.3">
      <c r="C39" s="104"/>
      <c r="D39" s="104"/>
      <c r="E39" s="104"/>
      <c r="F39" s="104"/>
      <c r="G39" s="104"/>
      <c r="H39" s="104"/>
      <c r="I39" s="104"/>
    </row>
    <row r="40" spans="3:9" ht="17.399999999999999" x14ac:dyDescent="0.3">
      <c r="C40" s="104"/>
      <c r="D40" s="110" t="s">
        <v>222</v>
      </c>
      <c r="E40" s="106"/>
      <c r="F40" s="106"/>
      <c r="G40" s="104"/>
      <c r="H40" s="104"/>
      <c r="I40" s="104"/>
    </row>
    <row r="41" spans="3:9" ht="17.399999999999999" x14ac:dyDescent="0.3">
      <c r="C41" s="104"/>
      <c r="D41" s="104"/>
      <c r="E41" s="106"/>
      <c r="F41" s="104"/>
      <c r="G41" s="104"/>
      <c r="H41" s="104"/>
      <c r="I41" s="104"/>
    </row>
    <row r="42" spans="3:9" ht="17.399999999999999" x14ac:dyDescent="0.3">
      <c r="C42" s="104"/>
      <c r="D42" s="106"/>
      <c r="E42" s="106"/>
      <c r="F42" s="111" t="s">
        <v>223</v>
      </c>
      <c r="G42" s="111" t="s">
        <v>224</v>
      </c>
      <c r="H42" s="105" t="s">
        <v>225</v>
      </c>
      <c r="I42" s="105" t="s">
        <v>226</v>
      </c>
    </row>
    <row r="43" spans="3:9" ht="17.399999999999999" x14ac:dyDescent="0.3">
      <c r="C43" s="104"/>
      <c r="D43" s="106"/>
      <c r="E43" s="106"/>
      <c r="F43" s="106" t="s">
        <v>227</v>
      </c>
      <c r="G43" s="106" t="s">
        <v>228</v>
      </c>
      <c r="H43" s="106" t="str">
        <f>_xlfn.CONCAT(F43,G43)</f>
        <v>abcxyz</v>
      </c>
      <c r="I43" s="106" t="str">
        <f>CONCATENATE(F43,"&amp;",G43)</f>
        <v>abc&amp;xyz</v>
      </c>
    </row>
    <row r="44" spans="3:9" ht="17.399999999999999" x14ac:dyDescent="0.3">
      <c r="C44" s="104"/>
      <c r="D44" s="106"/>
      <c r="E44" s="106"/>
      <c r="F44" s="106" t="s">
        <v>229</v>
      </c>
      <c r="G44" s="106" t="s">
        <v>230</v>
      </c>
      <c r="H44" s="106"/>
      <c r="I44" s="106"/>
    </row>
    <row r="45" spans="3:9" ht="17.399999999999999" x14ac:dyDescent="0.3">
      <c r="C45" s="104"/>
      <c r="D45" s="106"/>
      <c r="E45" s="106"/>
      <c r="F45" s="112">
        <v>123</v>
      </c>
      <c r="G45" s="112">
        <v>456</v>
      </c>
      <c r="H45" s="106"/>
      <c r="I45" s="106"/>
    </row>
    <row r="46" spans="3:9" ht="17.399999999999999" x14ac:dyDescent="0.3">
      <c r="C46" s="104"/>
      <c r="D46" s="106"/>
      <c r="E46" s="106"/>
      <c r="F46" s="106">
        <v>567</v>
      </c>
      <c r="G46" s="106">
        <v>789</v>
      </c>
      <c r="H46" s="106"/>
      <c r="I46" s="106"/>
    </row>
    <row r="47" spans="3:9" ht="17.399999999999999" x14ac:dyDescent="0.3">
      <c r="C47" s="104"/>
      <c r="D47" s="104"/>
      <c r="E47" s="104"/>
      <c r="F47" s="106">
        <v>567</v>
      </c>
      <c r="G47" s="106" t="s">
        <v>228</v>
      </c>
      <c r="H47" s="106"/>
      <c r="I47" s="106"/>
    </row>
  </sheetData>
  <pageMargins left="0.7" right="0.7" top="0.75" bottom="0.75" header="0.3" footer="0.3"/>
  <ignoredErrors>
    <ignoredError sqref="E18:E2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A240-9E74-4DCD-A872-206965484917}">
  <dimension ref="B1:M22"/>
  <sheetViews>
    <sheetView zoomScale="40" workbookViewId="0">
      <selection activeCell="B2" sqref="B2:E22"/>
    </sheetView>
  </sheetViews>
  <sheetFormatPr defaultRowHeight="14.4" x14ac:dyDescent="0.3"/>
  <cols>
    <col min="2" max="2" width="26.88671875" customWidth="1"/>
    <col min="3" max="3" width="15.77734375" bestFit="1" customWidth="1"/>
    <col min="4" max="4" width="22.5546875" bestFit="1" customWidth="1"/>
    <col min="5" max="5" width="20.88671875" customWidth="1"/>
    <col min="6" max="6" width="16.88671875" customWidth="1"/>
    <col min="7" max="7" width="27.109375" customWidth="1"/>
    <col min="8" max="8" width="25.77734375" customWidth="1"/>
    <col min="9" max="10" width="24.44140625" customWidth="1"/>
  </cols>
  <sheetData>
    <row r="1" spans="2:13" ht="39.6" customHeight="1" x14ac:dyDescent="0.85">
      <c r="D1" s="541" t="s">
        <v>340</v>
      </c>
      <c r="E1" s="541"/>
      <c r="F1" s="541"/>
      <c r="G1" s="541"/>
      <c r="H1" s="541"/>
      <c r="I1" s="541"/>
      <c r="J1" s="541"/>
      <c r="K1" s="541"/>
      <c r="L1" s="541"/>
      <c r="M1" s="541"/>
    </row>
    <row r="2" spans="2:13" ht="64.8" customHeight="1" x14ac:dyDescent="0.3">
      <c r="B2" s="42" t="s">
        <v>121</v>
      </c>
      <c r="C2" s="42" t="s">
        <v>122</v>
      </c>
      <c r="D2" s="63" t="s">
        <v>123</v>
      </c>
      <c r="E2" s="42" t="s">
        <v>124</v>
      </c>
      <c r="G2" s="143" t="s">
        <v>121</v>
      </c>
      <c r="H2" s="144" t="s">
        <v>122</v>
      </c>
      <c r="I2" s="145" t="s">
        <v>123</v>
      </c>
      <c r="J2" s="144" t="s">
        <v>124</v>
      </c>
    </row>
    <row r="3" spans="2:13" ht="16.8" x14ac:dyDescent="0.3">
      <c r="B3" s="57" t="s">
        <v>125</v>
      </c>
      <c r="C3" s="70">
        <v>5000</v>
      </c>
      <c r="D3" s="64">
        <v>45299</v>
      </c>
      <c r="E3" s="57" t="s">
        <v>126</v>
      </c>
      <c r="G3" s="146" t="s">
        <v>125</v>
      </c>
      <c r="H3" s="147">
        <v>5000</v>
      </c>
      <c r="I3" s="148">
        <v>45299</v>
      </c>
      <c r="J3" s="149" t="s">
        <v>126</v>
      </c>
    </row>
    <row r="4" spans="2:13" ht="21.6" customHeight="1" x14ac:dyDescent="0.3">
      <c r="B4" s="57" t="s">
        <v>127</v>
      </c>
      <c r="C4" s="70">
        <v>6000</v>
      </c>
      <c r="D4" s="64">
        <v>45297</v>
      </c>
      <c r="E4" s="57" t="s">
        <v>128</v>
      </c>
      <c r="G4" s="146" t="s">
        <v>127</v>
      </c>
      <c r="H4" s="147">
        <v>6000</v>
      </c>
      <c r="I4" s="148">
        <v>45297</v>
      </c>
      <c r="J4" s="149" t="s">
        <v>128</v>
      </c>
    </row>
    <row r="5" spans="2:13" ht="16.8" x14ac:dyDescent="0.3">
      <c r="B5" s="57" t="s">
        <v>129</v>
      </c>
      <c r="C5" s="70">
        <v>7000</v>
      </c>
      <c r="D5" s="64">
        <v>45308</v>
      </c>
      <c r="E5" s="57" t="s">
        <v>128</v>
      </c>
      <c r="G5" s="146" t="s">
        <v>129</v>
      </c>
      <c r="H5" s="147">
        <v>7000</v>
      </c>
      <c r="I5" s="148">
        <v>45308</v>
      </c>
      <c r="J5" s="149" t="s">
        <v>128</v>
      </c>
    </row>
    <row r="6" spans="2:13" ht="16.8" x14ac:dyDescent="0.3">
      <c r="B6" s="57" t="s">
        <v>130</v>
      </c>
      <c r="C6" s="70">
        <v>8000</v>
      </c>
      <c r="D6" s="64">
        <v>45301</v>
      </c>
      <c r="E6" s="57" t="s">
        <v>128</v>
      </c>
      <c r="G6" s="146" t="s">
        <v>130</v>
      </c>
      <c r="H6" s="147">
        <v>8000</v>
      </c>
      <c r="I6" s="148">
        <v>45301</v>
      </c>
      <c r="J6" s="149" t="s">
        <v>128</v>
      </c>
    </row>
    <row r="7" spans="2:13" ht="16.8" x14ac:dyDescent="0.3">
      <c r="B7" s="57" t="s">
        <v>131</v>
      </c>
      <c r="C7" s="70">
        <v>9000</v>
      </c>
      <c r="D7" s="64">
        <v>45297</v>
      </c>
      <c r="E7" s="57" t="s">
        <v>132</v>
      </c>
      <c r="G7" s="146" t="s">
        <v>131</v>
      </c>
      <c r="H7" s="147">
        <v>9000</v>
      </c>
      <c r="I7" s="148">
        <v>45297</v>
      </c>
      <c r="J7" s="149" t="s">
        <v>132</v>
      </c>
    </row>
    <row r="8" spans="2:13" ht="16.8" x14ac:dyDescent="0.3">
      <c r="B8" s="57" t="s">
        <v>133</v>
      </c>
      <c r="C8" s="70">
        <v>10000</v>
      </c>
      <c r="D8" s="64">
        <v>45292</v>
      </c>
      <c r="E8" s="57" t="s">
        <v>134</v>
      </c>
      <c r="G8" s="146" t="s">
        <v>133</v>
      </c>
      <c r="H8" s="147">
        <v>10000</v>
      </c>
      <c r="I8" s="148">
        <v>45292</v>
      </c>
      <c r="J8" s="149" t="s">
        <v>134</v>
      </c>
    </row>
    <row r="9" spans="2:13" ht="16.8" x14ac:dyDescent="0.3">
      <c r="B9" s="57" t="s">
        <v>129</v>
      </c>
      <c r="C9" s="70">
        <v>10000</v>
      </c>
      <c r="D9" s="64">
        <v>45313</v>
      </c>
      <c r="E9" s="57" t="s">
        <v>126</v>
      </c>
      <c r="G9" s="146" t="s">
        <v>135</v>
      </c>
      <c r="H9" s="147">
        <v>15000</v>
      </c>
      <c r="I9" s="148">
        <v>45294</v>
      </c>
      <c r="J9" s="149" t="s">
        <v>134</v>
      </c>
    </row>
    <row r="10" spans="2:13" ht="16.8" x14ac:dyDescent="0.3">
      <c r="B10" s="57" t="s">
        <v>135</v>
      </c>
      <c r="C10" s="70">
        <v>15000</v>
      </c>
      <c r="D10" s="64">
        <v>45294</v>
      </c>
      <c r="E10" s="57" t="s">
        <v>134</v>
      </c>
      <c r="G10" s="146" t="s">
        <v>136</v>
      </c>
      <c r="H10" s="147">
        <v>18000</v>
      </c>
      <c r="I10" s="148">
        <v>45310</v>
      </c>
      <c r="J10" s="149" t="s">
        <v>134</v>
      </c>
    </row>
    <row r="11" spans="2:13" ht="16.8" x14ac:dyDescent="0.3">
      <c r="B11" s="57" t="s">
        <v>136</v>
      </c>
      <c r="C11" s="70">
        <v>18000</v>
      </c>
      <c r="D11" s="64">
        <v>45310</v>
      </c>
      <c r="E11" s="57" t="s">
        <v>134</v>
      </c>
      <c r="G11" s="146" t="s">
        <v>137</v>
      </c>
      <c r="H11" s="147">
        <v>25000</v>
      </c>
      <c r="I11" s="148">
        <v>45311</v>
      </c>
      <c r="J11" s="149" t="s">
        <v>132</v>
      </c>
    </row>
    <row r="12" spans="2:13" ht="16.8" x14ac:dyDescent="0.3">
      <c r="B12" s="57" t="s">
        <v>137</v>
      </c>
      <c r="C12" s="70">
        <v>25000</v>
      </c>
      <c r="D12" s="64">
        <v>45311</v>
      </c>
      <c r="E12" s="57" t="s">
        <v>132</v>
      </c>
      <c r="G12" s="146" t="s">
        <v>138</v>
      </c>
      <c r="H12" s="147">
        <v>25000</v>
      </c>
      <c r="I12" s="148">
        <v>45301</v>
      </c>
      <c r="J12" s="149" t="s">
        <v>134</v>
      </c>
    </row>
    <row r="13" spans="2:13" ht="16.8" x14ac:dyDescent="0.3">
      <c r="B13" s="57" t="s">
        <v>138</v>
      </c>
      <c r="C13" s="70">
        <v>25000</v>
      </c>
      <c r="D13" s="64">
        <v>45301</v>
      </c>
      <c r="E13" s="57" t="s">
        <v>134</v>
      </c>
      <c r="G13" s="146" t="s">
        <v>139</v>
      </c>
      <c r="H13" s="147">
        <v>30000</v>
      </c>
      <c r="I13" s="148">
        <v>45306</v>
      </c>
      <c r="J13" s="149" t="s">
        <v>126</v>
      </c>
    </row>
    <row r="14" spans="2:13" ht="16.8" x14ac:dyDescent="0.3">
      <c r="B14" s="57" t="s">
        <v>139</v>
      </c>
      <c r="C14" s="70">
        <v>30000</v>
      </c>
      <c r="D14" s="64">
        <v>45306</v>
      </c>
      <c r="E14" s="57" t="s">
        <v>126</v>
      </c>
      <c r="G14" s="146" t="s">
        <v>140</v>
      </c>
      <c r="H14" s="147">
        <v>30000</v>
      </c>
      <c r="I14" s="148">
        <v>45304</v>
      </c>
      <c r="J14" s="149" t="s">
        <v>126</v>
      </c>
    </row>
    <row r="15" spans="2:13" ht="20.399999999999999" customHeight="1" x14ac:dyDescent="0.3">
      <c r="B15" s="57" t="s">
        <v>140</v>
      </c>
      <c r="C15" s="70">
        <v>30000</v>
      </c>
      <c r="D15" s="64">
        <v>45304</v>
      </c>
      <c r="E15" s="57" t="s">
        <v>126</v>
      </c>
      <c r="G15" s="146" t="s">
        <v>141</v>
      </c>
      <c r="H15" s="147">
        <v>35000</v>
      </c>
      <c r="I15" s="148">
        <v>45304</v>
      </c>
      <c r="J15" s="149" t="s">
        <v>126</v>
      </c>
    </row>
    <row r="16" spans="2:13" ht="16.8" x14ac:dyDescent="0.3">
      <c r="B16" s="57" t="s">
        <v>141</v>
      </c>
      <c r="C16" s="70">
        <v>35000</v>
      </c>
      <c r="D16" s="64">
        <v>45304</v>
      </c>
      <c r="E16" s="57" t="s">
        <v>126</v>
      </c>
      <c r="G16" s="146" t="s">
        <v>142</v>
      </c>
      <c r="H16" s="147">
        <v>36000</v>
      </c>
      <c r="I16" s="148">
        <v>45302</v>
      </c>
      <c r="J16" s="149" t="s">
        <v>132</v>
      </c>
    </row>
    <row r="17" spans="2:10" ht="17.399999999999999" thickBot="1" x14ac:dyDescent="0.35">
      <c r="B17" s="57" t="s">
        <v>142</v>
      </c>
      <c r="C17" s="71">
        <v>36000</v>
      </c>
      <c r="D17" s="64">
        <v>45302</v>
      </c>
      <c r="E17" s="57" t="s">
        <v>132</v>
      </c>
      <c r="G17" s="146" t="s">
        <v>143</v>
      </c>
      <c r="H17" s="150"/>
      <c r="I17" s="148">
        <v>45303</v>
      </c>
      <c r="J17" s="149" t="s">
        <v>132</v>
      </c>
    </row>
    <row r="18" spans="2:10" ht="17.399999999999999" thickBot="1" x14ac:dyDescent="0.35">
      <c r="B18" s="59" t="s">
        <v>143</v>
      </c>
      <c r="C18" s="60"/>
      <c r="D18" s="65">
        <v>45303</v>
      </c>
      <c r="E18" s="57" t="s">
        <v>132</v>
      </c>
      <c r="G18" s="151" t="s">
        <v>151</v>
      </c>
      <c r="H18" s="153">
        <f>SUBTOTAL(101,Table1[Prices])</f>
        <v>18500</v>
      </c>
      <c r="J18" s="152">
        <f>SUBTOTAL(103,Table1[Regions])</f>
        <v>15</v>
      </c>
    </row>
    <row r="19" spans="2:10" ht="16.8" x14ac:dyDescent="0.3">
      <c r="B19" s="57" t="s">
        <v>125</v>
      </c>
      <c r="C19" s="72">
        <v>45000</v>
      </c>
      <c r="D19" s="64">
        <v>45298</v>
      </c>
      <c r="E19" s="57" t="s">
        <v>128</v>
      </c>
    </row>
    <row r="20" spans="2:10" ht="17.399999999999999" thickBot="1" x14ac:dyDescent="0.35">
      <c r="B20" s="57" t="s">
        <v>131</v>
      </c>
      <c r="C20" s="69">
        <v>50000</v>
      </c>
      <c r="D20" s="66">
        <v>45313</v>
      </c>
      <c r="E20" s="58" t="s">
        <v>134</v>
      </c>
    </row>
    <row r="21" spans="2:10" ht="17.399999999999999" thickBot="1" x14ac:dyDescent="0.35">
      <c r="B21" s="59" t="s">
        <v>136</v>
      </c>
      <c r="C21" s="73" t="s">
        <v>144</v>
      </c>
      <c r="D21" s="67">
        <v>45295</v>
      </c>
      <c r="E21" s="61" t="s">
        <v>132</v>
      </c>
    </row>
    <row r="22" spans="2:10" ht="43.8" customHeight="1" x14ac:dyDescent="0.3">
      <c r="B22" s="57" t="s">
        <v>138</v>
      </c>
      <c r="C22" s="72">
        <v>80000</v>
      </c>
      <c r="D22" s="68">
        <v>45296</v>
      </c>
      <c r="E22" s="61" t="s">
        <v>132</v>
      </c>
    </row>
  </sheetData>
  <mergeCells count="1">
    <mergeCell ref="D1:M1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17B0-DCF7-41D9-A1D3-7AC3602D7B70}">
  <dimension ref="B1:R74"/>
  <sheetViews>
    <sheetView topLeftCell="F56" zoomScale="81" workbookViewId="0">
      <selection activeCell="H76" sqref="H76"/>
    </sheetView>
  </sheetViews>
  <sheetFormatPr defaultRowHeight="14.4" x14ac:dyDescent="0.3"/>
  <cols>
    <col min="2" max="2" width="25.33203125" customWidth="1"/>
    <col min="3" max="3" width="29.77734375" customWidth="1"/>
    <col min="4" max="4" width="17" customWidth="1"/>
    <col min="5" max="5" width="20.6640625" customWidth="1"/>
    <col min="6" max="6" width="16" customWidth="1"/>
    <col min="7" max="7" width="23.21875" customWidth="1"/>
    <col min="8" max="8" width="20.109375" customWidth="1"/>
    <col min="9" max="9" width="35.109375" customWidth="1"/>
  </cols>
  <sheetData>
    <row r="1" spans="2:18" ht="15" thickBot="1" x14ac:dyDescent="0.35"/>
    <row r="2" spans="2:18" ht="36.6" thickBot="1" x14ac:dyDescent="0.35">
      <c r="B2" s="113" t="s">
        <v>234</v>
      </c>
      <c r="C2" s="114">
        <v>2026</v>
      </c>
      <c r="D2" s="114" t="s">
        <v>235</v>
      </c>
      <c r="E2" s="157" t="s">
        <v>341</v>
      </c>
      <c r="F2" s="157" t="s">
        <v>342</v>
      </c>
      <c r="G2" s="157" t="s">
        <v>343</v>
      </c>
      <c r="H2" s="157" t="s">
        <v>344</v>
      </c>
      <c r="I2" s="157" t="s">
        <v>345</v>
      </c>
    </row>
    <row r="3" spans="2:18" ht="15" customHeight="1" thickBot="1" x14ac:dyDescent="0.35">
      <c r="B3" s="116" t="s">
        <v>236</v>
      </c>
      <c r="C3" s="117">
        <v>8</v>
      </c>
      <c r="D3" s="117" t="s">
        <v>237</v>
      </c>
      <c r="E3" s="118" t="s">
        <v>238</v>
      </c>
      <c r="F3" s="118" t="s">
        <v>239</v>
      </c>
      <c r="G3" s="119" t="s">
        <v>236</v>
      </c>
      <c r="H3" s="119" t="s">
        <v>240</v>
      </c>
      <c r="I3" s="119" t="s">
        <v>241</v>
      </c>
      <c r="K3" s="154"/>
      <c r="L3" s="154"/>
      <c r="M3" s="154"/>
      <c r="N3" s="154"/>
      <c r="O3" s="154"/>
      <c r="P3" s="154"/>
      <c r="Q3" s="154"/>
      <c r="R3" s="154"/>
    </row>
    <row r="4" spans="2:18" ht="16.8" thickBot="1" x14ac:dyDescent="0.35">
      <c r="B4" s="116" t="s">
        <v>240</v>
      </c>
      <c r="C4" s="117">
        <v>13</v>
      </c>
      <c r="D4" s="117" t="s">
        <v>242</v>
      </c>
      <c r="E4" s="156">
        <v>46228</v>
      </c>
      <c r="F4" s="158">
        <v>0.78541666666666665</v>
      </c>
      <c r="G4" s="156">
        <f ca="1">TODAY()</f>
        <v>46274</v>
      </c>
      <c r="H4" s="155">
        <f ca="1">NOW()</f>
        <v>46274.620353009261</v>
      </c>
      <c r="I4" s="156">
        <f>DATE(C2,C3,C4)</f>
        <v>46247</v>
      </c>
      <c r="K4" s="154"/>
      <c r="L4" s="154"/>
      <c r="M4" s="154"/>
      <c r="N4" s="154"/>
      <c r="O4" s="154"/>
      <c r="P4" s="154"/>
      <c r="Q4" s="154"/>
      <c r="R4" s="154"/>
    </row>
    <row r="5" spans="2:18" ht="16.2" thickBot="1" x14ac:dyDescent="0.35">
      <c r="B5" s="121" t="s">
        <v>243</v>
      </c>
      <c r="C5" s="122"/>
      <c r="D5" s="122"/>
      <c r="E5" s="122"/>
      <c r="F5" s="122"/>
      <c r="G5" s="122"/>
      <c r="H5" s="115"/>
      <c r="I5" s="115"/>
      <c r="K5" s="154"/>
      <c r="L5" s="154"/>
      <c r="M5" s="154"/>
      <c r="N5" s="154"/>
      <c r="O5" s="154"/>
      <c r="P5" s="154"/>
      <c r="Q5" s="154"/>
      <c r="R5" s="154"/>
    </row>
    <row r="6" spans="2:18" ht="16.8" thickBot="1" x14ac:dyDescent="0.35">
      <c r="B6" s="121" t="s">
        <v>244</v>
      </c>
      <c r="C6" s="122"/>
      <c r="D6" s="122"/>
      <c r="E6" s="122"/>
      <c r="F6" s="122"/>
      <c r="G6" s="123"/>
      <c r="H6" s="117" t="s">
        <v>245</v>
      </c>
      <c r="I6" s="159">
        <f>DAY(I4)</f>
        <v>13</v>
      </c>
      <c r="K6" s="154"/>
      <c r="L6" s="154"/>
      <c r="M6" s="154"/>
      <c r="N6" s="154"/>
      <c r="O6" s="154"/>
      <c r="P6" s="154"/>
      <c r="Q6" s="154"/>
      <c r="R6" s="154"/>
    </row>
    <row r="7" spans="2:18" ht="16.8" thickBot="1" x14ac:dyDescent="0.35">
      <c r="B7" s="116" t="s">
        <v>246</v>
      </c>
      <c r="C7" s="122"/>
      <c r="D7" s="122"/>
      <c r="E7" s="122"/>
      <c r="F7" s="122"/>
      <c r="G7" s="123"/>
      <c r="H7" s="117" t="s">
        <v>247</v>
      </c>
      <c r="I7" s="159">
        <f>MONTH(I4)</f>
        <v>8</v>
      </c>
      <c r="K7" s="154"/>
      <c r="L7" s="154"/>
      <c r="M7" s="154"/>
      <c r="N7" s="154"/>
      <c r="O7" s="154"/>
      <c r="P7" s="154"/>
      <c r="Q7" s="154"/>
      <c r="R7" s="154"/>
    </row>
    <row r="8" spans="2:18" ht="16.8" thickBot="1" x14ac:dyDescent="0.35">
      <c r="B8" s="116" t="s">
        <v>248</v>
      </c>
      <c r="C8" s="122"/>
      <c r="D8" s="122"/>
      <c r="E8" s="122"/>
      <c r="F8" s="122"/>
      <c r="G8" s="123"/>
      <c r="H8" s="117" t="s">
        <v>249</v>
      </c>
      <c r="I8" s="159">
        <f>YEAR(I4)</f>
        <v>2026</v>
      </c>
      <c r="K8" s="154"/>
      <c r="L8" s="154"/>
      <c r="M8" s="154"/>
      <c r="N8" s="154"/>
      <c r="O8" s="154"/>
      <c r="P8" s="154"/>
      <c r="Q8" s="154"/>
      <c r="R8" s="154"/>
    </row>
    <row r="9" spans="2:18" ht="16.2" thickBot="1" x14ac:dyDescent="0.35">
      <c r="B9" s="116" t="s">
        <v>250</v>
      </c>
      <c r="C9" s="122"/>
      <c r="D9" s="122"/>
      <c r="E9" s="115"/>
      <c r="F9" s="115"/>
      <c r="G9" s="115"/>
      <c r="H9" s="115"/>
      <c r="I9" s="122"/>
      <c r="K9" s="154"/>
      <c r="L9" s="154"/>
      <c r="M9" s="154"/>
      <c r="N9" s="154"/>
      <c r="O9" s="154"/>
      <c r="P9" s="154"/>
      <c r="Q9" s="154"/>
      <c r="R9" s="154"/>
    </row>
    <row r="10" spans="2:18" ht="19.2" customHeight="1" thickBot="1" x14ac:dyDescent="0.35">
      <c r="B10" s="116" t="s">
        <v>251</v>
      </c>
      <c r="C10" s="122"/>
      <c r="D10" s="123"/>
      <c r="E10" s="118" t="s">
        <v>252</v>
      </c>
      <c r="F10" s="118" t="s">
        <v>253</v>
      </c>
      <c r="G10" s="118" t="s">
        <v>254</v>
      </c>
      <c r="H10" s="118" t="s">
        <v>255</v>
      </c>
      <c r="I10" s="161" t="s">
        <v>346</v>
      </c>
    </row>
    <row r="11" spans="2:18" ht="16.2" customHeight="1" thickBot="1" x14ac:dyDescent="0.35">
      <c r="B11" s="116" t="s">
        <v>256</v>
      </c>
      <c r="C11" s="122"/>
      <c r="D11" s="123"/>
      <c r="E11" s="124">
        <v>44927</v>
      </c>
      <c r="F11" s="124">
        <v>45240</v>
      </c>
      <c r="G11" s="125">
        <v>2</v>
      </c>
      <c r="H11" s="125">
        <v>2</v>
      </c>
      <c r="I11" s="160">
        <f>F11+H11</f>
        <v>45242</v>
      </c>
      <c r="K11" s="544" t="s">
        <v>348</v>
      </c>
      <c r="L11" s="544"/>
      <c r="M11" s="544"/>
      <c r="N11" s="544"/>
      <c r="O11" s="544"/>
    </row>
    <row r="12" spans="2:18" ht="16.2" thickBot="1" x14ac:dyDescent="0.35">
      <c r="B12" s="116" t="s">
        <v>257</v>
      </c>
      <c r="C12" s="122"/>
      <c r="D12" s="123"/>
      <c r="E12" s="124">
        <v>45507</v>
      </c>
      <c r="F12" s="124">
        <v>44908</v>
      </c>
      <c r="G12" s="125">
        <v>5</v>
      </c>
      <c r="H12" s="125">
        <v>5</v>
      </c>
      <c r="I12" s="160">
        <f>F12+H12</f>
        <v>44913</v>
      </c>
      <c r="K12" s="544" t="s">
        <v>349</v>
      </c>
      <c r="L12" s="544"/>
      <c r="M12" s="544"/>
      <c r="N12" s="544"/>
      <c r="O12" s="544"/>
    </row>
    <row r="13" spans="2:18" ht="16.8" thickBot="1" x14ac:dyDescent="0.35">
      <c r="B13" s="116" t="s">
        <v>258</v>
      </c>
      <c r="C13" s="122"/>
      <c r="D13" s="123"/>
      <c r="E13" s="124">
        <v>42257</v>
      </c>
      <c r="F13" s="124">
        <v>42298</v>
      </c>
      <c r="G13" s="118">
        <v>-5</v>
      </c>
      <c r="H13" s="118">
        <v>-5</v>
      </c>
      <c r="I13" s="160">
        <f>F13+H13</f>
        <v>42293</v>
      </c>
      <c r="K13" s="544" t="s">
        <v>350</v>
      </c>
      <c r="L13" s="544"/>
      <c r="M13" s="544"/>
      <c r="N13" s="544"/>
      <c r="O13" s="544"/>
    </row>
    <row r="14" spans="2:18" ht="16.8" thickBot="1" x14ac:dyDescent="0.35">
      <c r="B14" s="116" t="s">
        <v>259</v>
      </c>
      <c r="C14" s="122"/>
      <c r="D14" s="123"/>
      <c r="E14" s="124">
        <v>45782</v>
      </c>
      <c r="F14" s="124">
        <v>46757</v>
      </c>
      <c r="G14" s="118">
        <v>-12</v>
      </c>
      <c r="H14" s="118">
        <v>-12</v>
      </c>
      <c r="I14" s="160">
        <f>E14+H14</f>
        <v>45770</v>
      </c>
      <c r="K14" s="544" t="s">
        <v>353</v>
      </c>
      <c r="L14" s="544"/>
      <c r="M14" s="544"/>
      <c r="N14" s="544"/>
      <c r="O14" s="544"/>
    </row>
    <row r="15" spans="2:18" ht="16.2" thickBot="1" x14ac:dyDescent="0.35">
      <c r="B15" s="116" t="s">
        <v>260</v>
      </c>
      <c r="C15" s="122"/>
      <c r="D15" s="122"/>
      <c r="E15" s="122"/>
      <c r="F15" s="122"/>
      <c r="G15" s="122"/>
      <c r="H15" s="122"/>
      <c r="I15" s="122"/>
      <c r="K15" s="544"/>
      <c r="L15" s="544"/>
      <c r="M15" s="544"/>
      <c r="N15" s="544"/>
      <c r="O15" s="544"/>
    </row>
    <row r="16" spans="2:18" ht="16.2" thickBot="1" x14ac:dyDescent="0.35">
      <c r="B16" s="116" t="s">
        <v>261</v>
      </c>
      <c r="C16" s="122"/>
      <c r="D16" s="122"/>
      <c r="E16" s="122"/>
      <c r="F16" s="122"/>
      <c r="G16" s="122"/>
      <c r="H16" s="122"/>
      <c r="I16" s="122"/>
      <c r="K16" s="544"/>
      <c r="L16" s="544"/>
      <c r="M16" s="544"/>
      <c r="N16" s="544"/>
      <c r="O16" s="544"/>
    </row>
    <row r="17" spans="2:15" ht="43.8" thickBot="1" x14ac:dyDescent="0.35">
      <c r="B17" s="116" t="s">
        <v>262</v>
      </c>
      <c r="C17" s="122"/>
      <c r="D17" s="542" t="s">
        <v>347</v>
      </c>
      <c r="E17" s="543"/>
      <c r="F17" s="122"/>
      <c r="G17" s="122"/>
      <c r="H17" s="163" t="s">
        <v>352</v>
      </c>
      <c r="I17" s="122"/>
      <c r="K17" s="544"/>
      <c r="L17" s="544"/>
      <c r="M17" s="544"/>
      <c r="N17" s="544"/>
      <c r="O17" s="544"/>
    </row>
    <row r="18" spans="2:15" ht="16.2" thickBot="1" x14ac:dyDescent="0.35">
      <c r="B18" s="116" t="s">
        <v>263</v>
      </c>
      <c r="C18" s="122"/>
      <c r="D18" s="122"/>
      <c r="E18" s="115"/>
      <c r="F18" s="115"/>
      <c r="G18" s="115"/>
      <c r="H18" s="115"/>
      <c r="I18" s="115"/>
      <c r="K18" s="545"/>
      <c r="L18" s="545"/>
      <c r="M18" s="545"/>
      <c r="N18" s="545"/>
      <c r="O18" s="545"/>
    </row>
    <row r="19" spans="2:15" ht="33" thickBot="1" x14ac:dyDescent="0.35">
      <c r="B19" s="122"/>
      <c r="C19" s="122"/>
      <c r="D19" s="120"/>
      <c r="E19" s="126" t="s">
        <v>259</v>
      </c>
      <c r="F19" s="126" t="s">
        <v>351</v>
      </c>
      <c r="G19" s="126" t="s">
        <v>265</v>
      </c>
      <c r="H19" s="126" t="s">
        <v>266</v>
      </c>
      <c r="I19" s="120"/>
    </row>
    <row r="20" spans="2:15" ht="16.2" thickBot="1" x14ac:dyDescent="0.35">
      <c r="B20" s="122"/>
      <c r="C20" s="123"/>
      <c r="D20" s="546" t="s">
        <v>267</v>
      </c>
      <c r="E20" s="124">
        <v>44929</v>
      </c>
      <c r="F20" s="124">
        <f t="shared" ref="F20:F22" si="0">EDATE(E20,G11)</f>
        <v>44988</v>
      </c>
      <c r="G20" s="124">
        <v>44988</v>
      </c>
      <c r="H20" s="162">
        <v>44988</v>
      </c>
      <c r="I20" s="546" t="s">
        <v>268</v>
      </c>
    </row>
    <row r="21" spans="2:15" ht="16.2" thickBot="1" x14ac:dyDescent="0.35">
      <c r="B21" s="122"/>
      <c r="C21" s="123"/>
      <c r="D21" s="547"/>
      <c r="E21" s="124">
        <v>45512</v>
      </c>
      <c r="F21" s="124">
        <f t="shared" si="0"/>
        <v>45665</v>
      </c>
      <c r="G21" s="124">
        <v>45665</v>
      </c>
      <c r="H21" s="162">
        <v>45665</v>
      </c>
      <c r="I21" s="547"/>
    </row>
    <row r="22" spans="2:15" ht="16.2" thickBot="1" x14ac:dyDescent="0.35">
      <c r="B22" s="122"/>
      <c r="C22" s="123"/>
      <c r="D22" s="547"/>
      <c r="E22" s="124">
        <v>42252</v>
      </c>
      <c r="F22" s="124">
        <f t="shared" si="0"/>
        <v>42099</v>
      </c>
      <c r="G22" s="124">
        <v>42099</v>
      </c>
      <c r="H22" s="162">
        <v>42099</v>
      </c>
      <c r="I22" s="547"/>
    </row>
    <row r="23" spans="2:15" ht="16.2" thickBot="1" x14ac:dyDescent="0.35">
      <c r="B23" s="122"/>
      <c r="C23" s="123"/>
      <c r="D23" s="548"/>
      <c r="E23" s="124">
        <v>45770</v>
      </c>
      <c r="F23" s="124">
        <f>EDATE(E23,G14)</f>
        <v>45405</v>
      </c>
      <c r="G23" s="124">
        <v>45405</v>
      </c>
      <c r="H23" s="162">
        <v>45405</v>
      </c>
      <c r="I23" s="548"/>
    </row>
    <row r="24" spans="2:15" ht="15" thickBot="1" x14ac:dyDescent="0.35">
      <c r="B24" s="122"/>
      <c r="C24" s="115"/>
      <c r="D24" s="115"/>
      <c r="E24" s="115"/>
      <c r="F24" s="122"/>
      <c r="G24" s="122"/>
      <c r="H24" s="122"/>
      <c r="I24" s="122"/>
    </row>
    <row r="25" spans="2:15" ht="15" thickBot="1" x14ac:dyDescent="0.35">
      <c r="B25" s="123"/>
      <c r="C25" s="549" t="s">
        <v>269</v>
      </c>
      <c r="D25" s="546" t="s">
        <v>270</v>
      </c>
      <c r="E25" s="156">
        <f>EOMONTH(G20,G11)</f>
        <v>45077</v>
      </c>
      <c r="F25" s="122"/>
      <c r="G25" s="115"/>
      <c r="H25" s="122"/>
      <c r="I25" s="122"/>
    </row>
    <row r="26" spans="2:15" ht="16.2" thickBot="1" x14ac:dyDescent="0.35">
      <c r="B26" s="123"/>
      <c r="C26" s="550"/>
      <c r="D26" s="547"/>
      <c r="E26" s="156">
        <f>EOMONTH(G21,G12)</f>
        <v>45838</v>
      </c>
      <c r="F26" s="123"/>
      <c r="G26" s="124">
        <v>43836</v>
      </c>
      <c r="H26" s="122"/>
      <c r="I26" s="122"/>
    </row>
    <row r="27" spans="2:15" ht="15" thickBot="1" x14ac:dyDescent="0.35">
      <c r="B27" s="123"/>
      <c r="C27" s="550"/>
      <c r="D27" s="547"/>
      <c r="E27" s="156">
        <f>EOMONTH(G22,G13)</f>
        <v>41973</v>
      </c>
      <c r="F27" s="122"/>
      <c r="G27" s="122"/>
      <c r="H27" s="122"/>
      <c r="I27" s="122"/>
    </row>
    <row r="28" spans="2:15" ht="15" thickBot="1" x14ac:dyDescent="0.35">
      <c r="B28" s="123"/>
      <c r="C28" s="551"/>
      <c r="D28" s="548"/>
      <c r="E28" s="156">
        <f>EOMONTH(G23,G14)</f>
        <v>45046</v>
      </c>
      <c r="F28" s="122"/>
      <c r="G28" s="122"/>
      <c r="H28" s="122"/>
      <c r="I28" s="122"/>
    </row>
    <row r="29" spans="2:15" ht="15" thickBot="1" x14ac:dyDescent="0.35">
      <c r="B29" s="122"/>
      <c r="C29" s="115"/>
      <c r="D29" s="115"/>
      <c r="E29" s="115"/>
      <c r="F29" s="115"/>
      <c r="G29" s="122"/>
      <c r="H29" s="122"/>
      <c r="I29" s="122"/>
    </row>
    <row r="30" spans="2:15" ht="16.2" thickBot="1" x14ac:dyDescent="0.35">
      <c r="B30" s="123"/>
      <c r="C30" s="549" t="s">
        <v>271</v>
      </c>
      <c r="D30" s="546" t="s">
        <v>257</v>
      </c>
      <c r="E30" s="164">
        <f>WEEKDAY(F30,2)</f>
        <v>5</v>
      </c>
      <c r="F30" s="124">
        <v>44988</v>
      </c>
      <c r="G30" s="162">
        <v>44988</v>
      </c>
      <c r="H30" s="122"/>
      <c r="I30" s="122"/>
    </row>
    <row r="31" spans="2:15" ht="16.2" thickBot="1" x14ac:dyDescent="0.35">
      <c r="B31" s="123"/>
      <c r="C31" s="550"/>
      <c r="D31" s="547"/>
      <c r="E31" s="164">
        <f t="shared" ref="E31:E33" si="1">WEEKDAY(F31,2)</f>
        <v>3</v>
      </c>
      <c r="F31" s="124">
        <v>45665</v>
      </c>
      <c r="G31" s="162">
        <v>45665</v>
      </c>
      <c r="H31" s="122"/>
      <c r="I31" s="122"/>
    </row>
    <row r="32" spans="2:15" ht="16.2" thickBot="1" x14ac:dyDescent="0.35">
      <c r="B32" s="123"/>
      <c r="C32" s="550"/>
      <c r="D32" s="547"/>
      <c r="E32" s="164">
        <f t="shared" si="1"/>
        <v>7</v>
      </c>
      <c r="F32" s="124">
        <v>42099</v>
      </c>
      <c r="G32" s="162">
        <v>42099</v>
      </c>
      <c r="H32" s="122"/>
      <c r="I32" s="122"/>
    </row>
    <row r="33" spans="2:9" ht="16.2" thickBot="1" x14ac:dyDescent="0.35">
      <c r="B33" s="123"/>
      <c r="C33" s="551"/>
      <c r="D33" s="548"/>
      <c r="E33" s="164">
        <f t="shared" si="1"/>
        <v>2</v>
      </c>
      <c r="F33" s="124">
        <v>45405</v>
      </c>
      <c r="G33" s="162">
        <v>45405</v>
      </c>
      <c r="H33" s="122"/>
      <c r="I33" s="122"/>
    </row>
    <row r="34" spans="2:9" ht="15" thickBot="1" x14ac:dyDescent="0.35">
      <c r="B34" s="122"/>
      <c r="C34" s="115"/>
      <c r="D34" s="115"/>
      <c r="E34" s="115"/>
      <c r="F34" s="115"/>
      <c r="G34" s="122"/>
      <c r="H34" s="122"/>
      <c r="I34" s="122"/>
    </row>
    <row r="35" spans="2:9" ht="16.2" thickBot="1" x14ac:dyDescent="0.35">
      <c r="B35" s="123"/>
      <c r="C35" s="549" t="s">
        <v>272</v>
      </c>
      <c r="D35" s="546" t="s">
        <v>258</v>
      </c>
      <c r="E35" s="164">
        <f>WEEKNUM(F35,11)</f>
        <v>10</v>
      </c>
      <c r="F35" s="124">
        <v>44988</v>
      </c>
      <c r="G35" s="122"/>
      <c r="H35" s="122"/>
      <c r="I35" s="122"/>
    </row>
    <row r="36" spans="2:9" ht="16.2" thickBot="1" x14ac:dyDescent="0.35">
      <c r="B36" s="123"/>
      <c r="C36" s="550"/>
      <c r="D36" s="547"/>
      <c r="E36" s="164">
        <f t="shared" ref="E36:E38" si="2">WEEKNUM(F36,11)</f>
        <v>2</v>
      </c>
      <c r="F36" s="124">
        <v>45665</v>
      </c>
      <c r="G36" s="122"/>
      <c r="H36" s="122"/>
      <c r="I36" s="122"/>
    </row>
    <row r="37" spans="2:9" ht="16.2" thickBot="1" x14ac:dyDescent="0.35">
      <c r="B37" s="123"/>
      <c r="C37" s="550"/>
      <c r="D37" s="547"/>
      <c r="E37" s="164">
        <f t="shared" si="2"/>
        <v>14</v>
      </c>
      <c r="F37" s="124">
        <v>42099</v>
      </c>
      <c r="G37" s="122"/>
      <c r="H37" s="122"/>
      <c r="I37" s="122"/>
    </row>
    <row r="38" spans="2:9" ht="16.2" thickBot="1" x14ac:dyDescent="0.35">
      <c r="B38" s="123"/>
      <c r="C38" s="551"/>
      <c r="D38" s="548"/>
      <c r="E38" s="164">
        <f t="shared" si="2"/>
        <v>17</v>
      </c>
      <c r="F38" s="124">
        <v>45405</v>
      </c>
      <c r="G38" s="122"/>
      <c r="H38" s="122"/>
      <c r="I38" s="122"/>
    </row>
    <row r="39" spans="2:9" ht="15" thickBot="1" x14ac:dyDescent="0.35">
      <c r="B39" s="122"/>
      <c r="C39" s="122"/>
      <c r="D39" s="122"/>
      <c r="E39" s="115"/>
      <c r="F39" s="115"/>
      <c r="G39" s="115"/>
      <c r="H39" s="115"/>
      <c r="I39" s="115"/>
    </row>
    <row r="40" spans="2:9" ht="33" thickBot="1" x14ac:dyDescent="0.35">
      <c r="B40" s="122"/>
      <c r="C40" s="122"/>
      <c r="D40" s="120"/>
      <c r="E40" s="127" t="s">
        <v>273</v>
      </c>
      <c r="F40" s="127" t="s">
        <v>252</v>
      </c>
      <c r="G40" s="127" t="s">
        <v>253</v>
      </c>
      <c r="H40" s="127" t="s">
        <v>274</v>
      </c>
      <c r="I40" s="127" t="s">
        <v>275</v>
      </c>
    </row>
    <row r="41" spans="2:9" ht="16.2" thickBot="1" x14ac:dyDescent="0.35">
      <c r="B41" s="122"/>
      <c r="C41" s="123"/>
      <c r="D41" s="546" t="s">
        <v>255</v>
      </c>
      <c r="E41" s="164">
        <f>DATEDIF(F41,G41,"M")</f>
        <v>10</v>
      </c>
      <c r="F41" s="124">
        <v>44927</v>
      </c>
      <c r="G41" s="124">
        <v>45240</v>
      </c>
      <c r="H41" s="164">
        <f>DATEDIF(F41,G41,"D")</f>
        <v>313</v>
      </c>
      <c r="I41" s="164">
        <f>DATEDIF(F41,G41,"Y")</f>
        <v>0</v>
      </c>
    </row>
    <row r="42" spans="2:9" ht="16.2" thickBot="1" x14ac:dyDescent="0.35">
      <c r="B42" s="122"/>
      <c r="C42" s="123"/>
      <c r="D42" s="547"/>
      <c r="E42" s="164">
        <f>DATEDIF(F42,G42,"M")</f>
        <v>28</v>
      </c>
      <c r="F42" s="124">
        <v>44776</v>
      </c>
      <c r="G42" s="124">
        <v>45639</v>
      </c>
      <c r="H42" s="164">
        <f>DATEDIF(F42,G42,"D")</f>
        <v>863</v>
      </c>
      <c r="I42" s="164">
        <f>DATEDIF(F42,G42,"Y")</f>
        <v>2</v>
      </c>
    </row>
    <row r="43" spans="2:9" ht="16.2" thickBot="1" x14ac:dyDescent="0.35">
      <c r="B43" s="122"/>
      <c r="C43" s="123"/>
      <c r="D43" s="547"/>
      <c r="E43" s="164">
        <f>DATEDIF(F43,G43,"M")</f>
        <v>10</v>
      </c>
      <c r="F43" s="124">
        <v>42348</v>
      </c>
      <c r="G43" s="124">
        <v>42664</v>
      </c>
      <c r="H43" s="164">
        <f>DATEDIF(F43,G43,"D")</f>
        <v>316</v>
      </c>
      <c r="I43" s="164">
        <f>DATEDIF(F43,G43,"Y")</f>
        <v>0</v>
      </c>
    </row>
    <row r="44" spans="2:9" ht="16.2" thickBot="1" x14ac:dyDescent="0.35">
      <c r="B44" s="122"/>
      <c r="C44" s="123"/>
      <c r="D44" s="548"/>
      <c r="E44" s="164">
        <f>DATEDIF(F44,G44,"M")</f>
        <v>44</v>
      </c>
      <c r="F44" s="124">
        <v>45417</v>
      </c>
      <c r="G44" s="124">
        <v>46757</v>
      </c>
      <c r="H44" s="164">
        <f>DATEDIF(F44,G44,"D")</f>
        <v>1340</v>
      </c>
      <c r="I44" s="164">
        <f>DATEDIF(F44,G44,"Y")</f>
        <v>3</v>
      </c>
    </row>
    <row r="45" spans="2:9" ht="15" thickBot="1" x14ac:dyDescent="0.35">
      <c r="B45" s="122"/>
      <c r="C45" s="122"/>
      <c r="D45" s="115"/>
      <c r="E45" s="115"/>
      <c r="F45" s="115"/>
      <c r="G45" s="115"/>
      <c r="H45" s="122"/>
      <c r="I45" s="122"/>
    </row>
    <row r="46" spans="2:9" ht="16.8" thickBot="1" x14ac:dyDescent="0.35">
      <c r="B46" s="122"/>
      <c r="C46" s="123"/>
      <c r="D46" s="119" t="s">
        <v>276</v>
      </c>
      <c r="E46" s="125" t="s">
        <v>277</v>
      </c>
      <c r="F46" s="120">
        <f>DATEDIF($D$47,$I$47,"Y")</f>
        <v>20</v>
      </c>
      <c r="G46" s="546" t="s">
        <v>278</v>
      </c>
      <c r="H46" s="115"/>
      <c r="I46" s="115"/>
    </row>
    <row r="47" spans="2:9" ht="16.8" thickBot="1" x14ac:dyDescent="0.35">
      <c r="B47" s="122"/>
      <c r="C47" s="123"/>
      <c r="D47" s="165">
        <v>38799</v>
      </c>
      <c r="E47" s="125" t="s">
        <v>264</v>
      </c>
      <c r="F47" s="120">
        <f>DATEDIF($D$47,$I$47,"M")</f>
        <v>244</v>
      </c>
      <c r="G47" s="547"/>
      <c r="H47" s="119" t="s">
        <v>279</v>
      </c>
      <c r="I47" s="166">
        <v>46233</v>
      </c>
    </row>
    <row r="48" spans="2:9" ht="16.2" thickBot="1" x14ac:dyDescent="0.35">
      <c r="B48" s="122"/>
      <c r="C48" s="122"/>
      <c r="D48" s="123"/>
      <c r="E48" s="125" t="s">
        <v>259</v>
      </c>
      <c r="F48" s="120">
        <f>DATEDIF($D$47,$I$47,"D")</f>
        <v>7434</v>
      </c>
      <c r="G48" s="548"/>
      <c r="H48" s="122"/>
      <c r="I48" s="122"/>
    </row>
    <row r="49" spans="2:9" ht="15" thickBot="1" x14ac:dyDescent="0.35">
      <c r="B49" s="122"/>
      <c r="C49" s="122"/>
      <c r="D49" s="122"/>
      <c r="E49" s="122"/>
      <c r="F49" s="122"/>
      <c r="G49" s="122"/>
      <c r="H49" s="122"/>
      <c r="I49" s="122"/>
    </row>
    <row r="50" spans="2:9" ht="15" thickBot="1" x14ac:dyDescent="0.35">
      <c r="B50" s="115"/>
      <c r="C50" s="115"/>
      <c r="D50" s="115"/>
      <c r="E50" s="115"/>
      <c r="F50" s="115"/>
      <c r="G50" s="115"/>
      <c r="H50" s="115"/>
      <c r="I50" s="115"/>
    </row>
    <row r="51" spans="2:9" ht="16.8" thickBot="1" x14ac:dyDescent="0.35">
      <c r="B51" s="562" t="s">
        <v>280</v>
      </c>
      <c r="C51" s="563"/>
      <c r="D51" s="563"/>
      <c r="E51" s="563"/>
      <c r="F51" s="563"/>
      <c r="G51" s="563"/>
      <c r="H51" s="564"/>
      <c r="I51" s="565" t="s">
        <v>281</v>
      </c>
    </row>
    <row r="52" spans="2:9" ht="16.2" thickBot="1" x14ac:dyDescent="0.35">
      <c r="B52" s="128" t="s">
        <v>252</v>
      </c>
      <c r="C52" s="124">
        <v>43832</v>
      </c>
      <c r="D52" s="124">
        <v>43832</v>
      </c>
      <c r="E52" s="124">
        <v>43832</v>
      </c>
      <c r="F52" s="124">
        <v>43862</v>
      </c>
      <c r="G52" s="124">
        <v>43862</v>
      </c>
      <c r="H52" s="124">
        <v>43862</v>
      </c>
      <c r="I52" s="566"/>
    </row>
    <row r="53" spans="2:9" ht="16.2" thickBot="1" x14ac:dyDescent="0.35">
      <c r="B53" s="128" t="s">
        <v>253</v>
      </c>
      <c r="C53" s="124">
        <v>44531</v>
      </c>
      <c r="D53" s="124">
        <v>44531</v>
      </c>
      <c r="E53" s="124">
        <v>44531</v>
      </c>
      <c r="F53" s="124">
        <v>44208</v>
      </c>
      <c r="G53" s="124">
        <v>44208</v>
      </c>
      <c r="H53" s="124">
        <v>44208</v>
      </c>
      <c r="I53" s="566"/>
    </row>
    <row r="54" spans="2:9" ht="16.8" thickBot="1" x14ac:dyDescent="0.35">
      <c r="B54" s="128" t="s">
        <v>282</v>
      </c>
      <c r="C54" s="118" t="s">
        <v>235</v>
      </c>
      <c r="D54" s="118" t="s">
        <v>237</v>
      </c>
      <c r="E54" s="118" t="s">
        <v>242</v>
      </c>
      <c r="F54" s="118" t="s">
        <v>283</v>
      </c>
      <c r="G54" s="118" t="s">
        <v>284</v>
      </c>
      <c r="H54" s="118" t="s">
        <v>285</v>
      </c>
      <c r="I54" s="566"/>
    </row>
    <row r="55" spans="2:9" ht="16.8" thickBot="1" x14ac:dyDescent="0.35">
      <c r="B55" s="129" t="s">
        <v>286</v>
      </c>
      <c r="C55" s="120">
        <f>DATEDIF(C52,C53,"Y")</f>
        <v>1</v>
      </c>
      <c r="D55" s="120">
        <f>DATEDIF(D52,D53,"M")</f>
        <v>22</v>
      </c>
      <c r="E55" s="120">
        <f>DATEDIF(E52,E53,"D")</f>
        <v>699</v>
      </c>
      <c r="F55" s="120">
        <f>DATEDIF(F52,F53,"MD")</f>
        <v>11</v>
      </c>
      <c r="G55" s="120">
        <f>DATEDIF(G52,G53,"YM")</f>
        <v>11</v>
      </c>
      <c r="H55" s="120">
        <f>DATEDIF(H52,H53,"YD")</f>
        <v>346</v>
      </c>
      <c r="I55" s="567"/>
    </row>
    <row r="56" spans="2:9" ht="15" thickBot="1" x14ac:dyDescent="0.35">
      <c r="B56" s="115"/>
      <c r="C56" s="115"/>
      <c r="D56" s="122"/>
      <c r="E56" s="122"/>
      <c r="F56" s="122"/>
      <c r="G56" s="122"/>
      <c r="H56" s="122"/>
      <c r="I56" s="122"/>
    </row>
    <row r="57" spans="2:9" ht="33" thickBot="1" x14ac:dyDescent="0.35">
      <c r="B57" s="130" t="s">
        <v>235</v>
      </c>
      <c r="C57" s="131" t="s">
        <v>287</v>
      </c>
      <c r="D57" s="122"/>
      <c r="E57" s="115"/>
      <c r="F57" s="115"/>
      <c r="G57" s="115"/>
      <c r="H57" s="115"/>
      <c r="I57" s="122"/>
    </row>
    <row r="58" spans="2:9" ht="33" thickBot="1" x14ac:dyDescent="0.35">
      <c r="B58" s="130" t="s">
        <v>237</v>
      </c>
      <c r="C58" s="131" t="s">
        <v>288</v>
      </c>
      <c r="D58" s="123"/>
      <c r="E58" s="132" t="s">
        <v>252</v>
      </c>
      <c r="F58" s="132" t="s">
        <v>253</v>
      </c>
      <c r="G58" s="133" t="s">
        <v>289</v>
      </c>
      <c r="H58" s="133" t="s">
        <v>290</v>
      </c>
      <c r="I58" s="115"/>
    </row>
    <row r="59" spans="2:9" ht="45" customHeight="1" thickBot="1" x14ac:dyDescent="0.35">
      <c r="B59" s="130" t="s">
        <v>242</v>
      </c>
      <c r="C59" s="131" t="s">
        <v>291</v>
      </c>
      <c r="D59" s="123"/>
      <c r="E59" s="169">
        <v>44927</v>
      </c>
      <c r="F59" s="169">
        <v>45291</v>
      </c>
      <c r="G59" s="170">
        <f>NETWORKDAYS(E59,F59)</f>
        <v>260</v>
      </c>
      <c r="H59" s="170">
        <f>NETWORKDAYS(E59,F59,D66:D68)</f>
        <v>257</v>
      </c>
      <c r="I59" s="552" t="s">
        <v>262</v>
      </c>
    </row>
    <row r="60" spans="2:9" ht="33" thickBot="1" x14ac:dyDescent="0.35">
      <c r="B60" s="130" t="s">
        <v>283</v>
      </c>
      <c r="C60" s="131" t="s">
        <v>292</v>
      </c>
      <c r="D60" s="123"/>
      <c r="E60" s="169">
        <v>45292</v>
      </c>
      <c r="F60" s="169">
        <v>45657</v>
      </c>
      <c r="G60" s="170">
        <f>NETWORKDAYS(E60,F60)</f>
        <v>262</v>
      </c>
      <c r="H60" s="170">
        <f>NETWORKDAYS(E60,F60,D69:D71)</f>
        <v>259</v>
      </c>
      <c r="I60" s="553"/>
    </row>
    <row r="61" spans="2:9" ht="49.2" thickBot="1" x14ac:dyDescent="0.35">
      <c r="B61" s="130" t="s">
        <v>284</v>
      </c>
      <c r="C61" s="131" t="s">
        <v>293</v>
      </c>
      <c r="D61" s="123"/>
      <c r="E61" s="167">
        <v>42005</v>
      </c>
      <c r="F61" s="167">
        <v>42369</v>
      </c>
      <c r="G61" s="168">
        <f>NETWORKDAYS.INTL(E61,F61,1)</f>
        <v>261</v>
      </c>
      <c r="H61" s="168">
        <f>NETWORKDAYS.INTL(E61,F61,1,D72:D74)</f>
        <v>259</v>
      </c>
      <c r="I61" s="554" t="s">
        <v>354</v>
      </c>
    </row>
    <row r="62" spans="2:9" ht="33" thickBot="1" x14ac:dyDescent="0.35">
      <c r="B62" s="130" t="s">
        <v>285</v>
      </c>
      <c r="C62" s="131" t="s">
        <v>294</v>
      </c>
      <c r="D62" s="123"/>
      <c r="E62" s="167">
        <v>45658</v>
      </c>
      <c r="F62" s="167">
        <v>46022</v>
      </c>
      <c r="G62" s="168">
        <f>NETWORKDAYS.INTL(E62,F62,1)</f>
        <v>261</v>
      </c>
      <c r="H62" s="168">
        <f>NETWORKDAYS.INTL(E62,F62,1,G69:G71)</f>
        <v>258</v>
      </c>
      <c r="I62" s="555"/>
    </row>
    <row r="63" spans="2:9" ht="15" thickBot="1" x14ac:dyDescent="0.35">
      <c r="B63" s="122"/>
      <c r="C63" s="122"/>
      <c r="D63" s="122"/>
      <c r="E63" s="122"/>
      <c r="F63" s="122"/>
      <c r="G63" s="122"/>
      <c r="H63" s="122"/>
      <c r="I63" s="122"/>
    </row>
    <row r="64" spans="2:9" ht="15" thickBot="1" x14ac:dyDescent="0.35">
      <c r="B64" s="115"/>
      <c r="C64" s="122"/>
      <c r="D64" s="122"/>
      <c r="E64" s="122"/>
      <c r="F64" s="122"/>
      <c r="G64" s="122"/>
      <c r="H64" s="122"/>
      <c r="I64" s="122"/>
    </row>
    <row r="65" spans="2:9" ht="15" thickBot="1" x14ac:dyDescent="0.35">
      <c r="B65" s="135"/>
      <c r="C65" s="122"/>
      <c r="D65" s="115"/>
      <c r="E65" s="115"/>
      <c r="F65" s="115"/>
      <c r="G65" s="115"/>
      <c r="H65" s="115"/>
      <c r="I65" s="115"/>
    </row>
    <row r="66" spans="2:9" ht="31.8" thickBot="1" x14ac:dyDescent="0.35">
      <c r="B66" s="135"/>
      <c r="C66" s="568" t="s">
        <v>298</v>
      </c>
      <c r="D66" s="134">
        <v>44952</v>
      </c>
      <c r="E66" s="136" t="s">
        <v>295</v>
      </c>
      <c r="F66" s="556" t="s">
        <v>296</v>
      </c>
      <c r="G66" s="137">
        <v>42052</v>
      </c>
      <c r="H66" s="138" t="s">
        <v>297</v>
      </c>
      <c r="I66" s="559" t="s">
        <v>298</v>
      </c>
    </row>
    <row r="67" spans="2:9" ht="16.2" customHeight="1" thickBot="1" x14ac:dyDescent="0.35">
      <c r="B67" s="135"/>
      <c r="C67" s="569"/>
      <c r="D67" s="124">
        <v>45153</v>
      </c>
      <c r="E67" s="125" t="s">
        <v>299</v>
      </c>
      <c r="F67" s="557"/>
      <c r="G67" s="137">
        <v>42189</v>
      </c>
      <c r="H67" s="138" t="s">
        <v>299</v>
      </c>
      <c r="I67" s="560"/>
    </row>
    <row r="68" spans="2:9" ht="16.2" customHeight="1" thickBot="1" x14ac:dyDescent="0.35">
      <c r="B68" s="135"/>
      <c r="C68" s="569"/>
      <c r="D68" s="134">
        <v>45201</v>
      </c>
      <c r="E68" s="136" t="s">
        <v>300</v>
      </c>
      <c r="F68" s="557"/>
      <c r="G68" s="137">
        <v>42248</v>
      </c>
      <c r="H68" s="138" t="s">
        <v>301</v>
      </c>
      <c r="I68" s="561"/>
    </row>
    <row r="69" spans="2:9" ht="31.8" thickBot="1" x14ac:dyDescent="0.35">
      <c r="B69" s="122"/>
      <c r="C69" s="569"/>
      <c r="D69" s="134">
        <v>45317</v>
      </c>
      <c r="E69" s="136" t="s">
        <v>295</v>
      </c>
      <c r="F69" s="557"/>
      <c r="G69" s="137">
        <v>45705</v>
      </c>
      <c r="H69" s="138" t="s">
        <v>297</v>
      </c>
      <c r="I69" s="122"/>
    </row>
    <row r="70" spans="2:9" ht="16.2" thickBot="1" x14ac:dyDescent="0.35">
      <c r="B70" s="122"/>
      <c r="C70" s="569"/>
      <c r="D70" s="124">
        <v>45519</v>
      </c>
      <c r="E70" s="125" t="s">
        <v>299</v>
      </c>
      <c r="F70" s="557"/>
      <c r="G70" s="137">
        <v>45842</v>
      </c>
      <c r="H70" s="138" t="s">
        <v>299</v>
      </c>
      <c r="I70" s="122"/>
    </row>
    <row r="71" spans="2:9" ht="16.2" thickBot="1" x14ac:dyDescent="0.35">
      <c r="B71" s="122"/>
      <c r="C71" s="569"/>
      <c r="D71" s="134">
        <v>45567</v>
      </c>
      <c r="E71" s="136" t="s">
        <v>300</v>
      </c>
      <c r="F71" s="557"/>
      <c r="G71" s="137">
        <v>45901</v>
      </c>
      <c r="H71" s="138" t="s">
        <v>301</v>
      </c>
      <c r="I71" s="122"/>
    </row>
    <row r="72" spans="2:9" ht="16.2" thickBot="1" x14ac:dyDescent="0.35">
      <c r="B72" s="122"/>
      <c r="C72" s="569"/>
      <c r="D72" s="134">
        <v>42030</v>
      </c>
      <c r="E72" s="136" t="s">
        <v>295</v>
      </c>
      <c r="F72" s="557"/>
      <c r="G72" s="122"/>
      <c r="H72" s="122"/>
      <c r="I72" s="122"/>
    </row>
    <row r="73" spans="2:9" ht="16.2" thickBot="1" x14ac:dyDescent="0.35">
      <c r="B73" s="122"/>
      <c r="C73" s="569"/>
      <c r="D73" s="124">
        <v>42231</v>
      </c>
      <c r="E73" s="125" t="s">
        <v>299</v>
      </c>
      <c r="F73" s="557"/>
      <c r="G73" s="122"/>
      <c r="H73" s="122"/>
      <c r="I73" s="122"/>
    </row>
    <row r="74" spans="2:9" ht="16.2" thickBot="1" x14ac:dyDescent="0.35">
      <c r="B74" s="122"/>
      <c r="C74" s="570"/>
      <c r="D74" s="134">
        <v>42279</v>
      </c>
      <c r="E74" s="136" t="s">
        <v>300</v>
      </c>
      <c r="F74" s="558"/>
      <c r="G74" s="122"/>
      <c r="H74" s="122"/>
      <c r="I74" s="122"/>
    </row>
  </sheetData>
  <mergeCells count="26">
    <mergeCell ref="C30:C33"/>
    <mergeCell ref="D30:D33"/>
    <mergeCell ref="I59:I60"/>
    <mergeCell ref="I61:I62"/>
    <mergeCell ref="F66:F74"/>
    <mergeCell ref="I66:I68"/>
    <mergeCell ref="C35:C38"/>
    <mergeCell ref="D35:D38"/>
    <mergeCell ref="D41:D44"/>
    <mergeCell ref="G46:G48"/>
    <mergeCell ref="B51:H51"/>
    <mergeCell ref="I51:I55"/>
    <mergeCell ref="C66:C74"/>
    <mergeCell ref="K18:O18"/>
    <mergeCell ref="D20:D23"/>
    <mergeCell ref="I20:I23"/>
    <mergeCell ref="C25:C28"/>
    <mergeCell ref="D25:D28"/>
    <mergeCell ref="D17:E17"/>
    <mergeCell ref="K11:O11"/>
    <mergeCell ref="K12:O12"/>
    <mergeCell ref="K13:O13"/>
    <mergeCell ref="K14:O14"/>
    <mergeCell ref="K15:O15"/>
    <mergeCell ref="K16:O16"/>
    <mergeCell ref="K17:O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914C-9845-4A64-B7C3-9EF16FF449A2}">
  <dimension ref="B1:M42"/>
  <sheetViews>
    <sheetView zoomScale="51" workbookViewId="0">
      <selection activeCell="R28" sqref="R28"/>
    </sheetView>
  </sheetViews>
  <sheetFormatPr defaultRowHeight="14.4" x14ac:dyDescent="0.3"/>
  <cols>
    <col min="2" max="2" width="12.33203125" bestFit="1" customWidth="1"/>
    <col min="3" max="3" width="14" bestFit="1" customWidth="1"/>
    <col min="4" max="4" width="24.5546875" bestFit="1" customWidth="1"/>
    <col min="5" max="5" width="16.88671875" bestFit="1" customWidth="1"/>
    <col min="6" max="6" width="56.33203125" bestFit="1" customWidth="1"/>
    <col min="8" max="8" width="32.109375" bestFit="1" customWidth="1"/>
    <col min="9" max="9" width="18.88671875" bestFit="1" customWidth="1"/>
    <col min="10" max="10" width="28.88671875" bestFit="1" customWidth="1"/>
    <col min="11" max="11" width="21.44140625" bestFit="1" customWidth="1"/>
    <col min="12" max="12" width="16.21875" bestFit="1" customWidth="1"/>
    <col min="13" max="13" width="13.5546875" customWidth="1"/>
  </cols>
  <sheetData>
    <row r="1" spans="2:12" ht="40.799999999999997" customHeight="1" thickBot="1" x14ac:dyDescent="0.35"/>
    <row r="2" spans="2:12" ht="27" thickBot="1" x14ac:dyDescent="0.35">
      <c r="B2" s="176" t="s">
        <v>168</v>
      </c>
      <c r="C2" s="177" t="s">
        <v>302</v>
      </c>
      <c r="D2" s="177" t="s">
        <v>303</v>
      </c>
      <c r="E2" s="177" t="s">
        <v>304</v>
      </c>
      <c r="F2" s="115"/>
      <c r="G2" s="122"/>
      <c r="H2" s="115"/>
      <c r="I2" s="115"/>
      <c r="J2" s="115"/>
      <c r="K2" s="139"/>
      <c r="L2" s="139"/>
    </row>
    <row r="3" spans="2:12" ht="26.4" thickBot="1" x14ac:dyDescent="0.35">
      <c r="B3" s="171">
        <v>1</v>
      </c>
      <c r="C3" s="172" t="s">
        <v>223</v>
      </c>
      <c r="D3" s="172">
        <v>200</v>
      </c>
      <c r="E3" s="173" t="str">
        <f>IF(D3&gt;=180,"Excellent","Good")</f>
        <v>Excellent</v>
      </c>
      <c r="F3" s="571" t="s">
        <v>305</v>
      </c>
      <c r="G3" s="123"/>
      <c r="H3" s="574" t="s">
        <v>306</v>
      </c>
      <c r="I3" s="178" t="str" cm="1">
        <f t="array" ref="I3">_xlfn.IFS(D3&lt;130,"Poor",D3&gt;=180,"Good")</f>
        <v>Good</v>
      </c>
      <c r="J3" s="577" t="s">
        <v>307</v>
      </c>
      <c r="K3" s="139"/>
      <c r="L3" s="139"/>
    </row>
    <row r="4" spans="2:12" ht="26.4" thickBot="1" x14ac:dyDescent="0.35">
      <c r="B4" s="171">
        <v>2</v>
      </c>
      <c r="C4" s="172" t="s">
        <v>224</v>
      </c>
      <c r="D4" s="172">
        <v>180</v>
      </c>
      <c r="E4" s="173" t="str">
        <f>IF(D4&gt;=180,"Excellent","Good")</f>
        <v>Excellent</v>
      </c>
      <c r="F4" s="572"/>
      <c r="G4" s="123"/>
      <c r="H4" s="575"/>
      <c r="I4" s="178" t="str" cm="1">
        <f t="array" ref="I4">_xlfn.IFS(D4&lt;130,"Poor",D4&gt;=180,"Good")</f>
        <v>Good</v>
      </c>
      <c r="J4" s="578"/>
      <c r="K4" s="139"/>
      <c r="L4" s="140"/>
    </row>
    <row r="5" spans="2:12" ht="26.4" thickBot="1" x14ac:dyDescent="0.35">
      <c r="B5" s="171">
        <v>3</v>
      </c>
      <c r="C5" s="172" t="s">
        <v>308</v>
      </c>
      <c r="D5" s="172">
        <v>140</v>
      </c>
      <c r="E5" s="173" t="str">
        <f t="shared" ref="E5:E34" si="0">IF(D5&gt;=180,"Excellent","Good")</f>
        <v>Good</v>
      </c>
      <c r="F5" s="572"/>
      <c r="G5" s="123"/>
      <c r="H5" s="576"/>
      <c r="I5" s="178" t="str" cm="1">
        <f t="array" ref="I5">_xlfn.IFS(D5&lt;150,"Poor",D5&gt;=150,"Good")</f>
        <v>Poor</v>
      </c>
      <c r="J5" s="578"/>
      <c r="K5" s="141"/>
      <c r="L5" s="181" t="s">
        <v>309</v>
      </c>
    </row>
    <row r="6" spans="2:12" ht="24.6" thickBot="1" x14ac:dyDescent="0.35">
      <c r="B6" s="171">
        <v>4</v>
      </c>
      <c r="C6" s="174" t="s">
        <v>242</v>
      </c>
      <c r="D6" s="174">
        <v>120</v>
      </c>
      <c r="E6" s="173" t="str">
        <f t="shared" si="0"/>
        <v>Good</v>
      </c>
      <c r="F6" s="572"/>
      <c r="G6" s="122"/>
      <c r="H6" s="120"/>
      <c r="I6" s="120"/>
      <c r="J6" s="578"/>
      <c r="K6" s="141"/>
      <c r="L6" s="117" t="s">
        <v>310</v>
      </c>
    </row>
    <row r="7" spans="2:12" ht="26.4" thickBot="1" x14ac:dyDescent="0.35">
      <c r="B7" s="171">
        <v>5</v>
      </c>
      <c r="C7" s="174" t="s">
        <v>311</v>
      </c>
      <c r="D7" s="174">
        <v>140</v>
      </c>
      <c r="E7" s="173" t="str">
        <f t="shared" si="0"/>
        <v>Good</v>
      </c>
      <c r="F7" s="572"/>
      <c r="G7" s="123"/>
      <c r="H7" s="580" t="s">
        <v>312</v>
      </c>
      <c r="I7" s="178" t="str" cm="1">
        <f t="array" ref="I7">_xlfn.IFS(D6&lt;100,"very poor",D6&lt;=150,"average",D6&gt;=150,"Goog")</f>
        <v>average</v>
      </c>
      <c r="J7" s="578"/>
      <c r="K7" s="141"/>
      <c r="L7" s="120"/>
    </row>
    <row r="8" spans="2:12" ht="26.4" thickBot="1" x14ac:dyDescent="0.35">
      <c r="B8" s="171">
        <v>6</v>
      </c>
      <c r="C8" s="174" t="s">
        <v>313</v>
      </c>
      <c r="D8" s="174">
        <v>190</v>
      </c>
      <c r="E8" s="173" t="str">
        <f t="shared" si="0"/>
        <v>Excellent</v>
      </c>
      <c r="F8" s="572"/>
      <c r="G8" s="123"/>
      <c r="H8" s="581"/>
      <c r="I8" s="178" t="str" cm="1">
        <f t="array" ref="I8">_xlfn.IFS(D7&lt;100,"very poor",D7&lt;=150,"average",D7&gt;=150,"Goog")</f>
        <v>average</v>
      </c>
      <c r="J8" s="578"/>
      <c r="K8" s="139"/>
      <c r="L8" s="139"/>
    </row>
    <row r="9" spans="2:12" ht="26.4" thickBot="1" x14ac:dyDescent="0.35">
      <c r="B9" s="171">
        <v>7</v>
      </c>
      <c r="C9" s="173" t="s">
        <v>314</v>
      </c>
      <c r="D9" s="173">
        <v>200</v>
      </c>
      <c r="E9" s="173" t="str">
        <f t="shared" si="0"/>
        <v>Excellent</v>
      </c>
      <c r="F9" s="572"/>
      <c r="G9" s="123"/>
      <c r="H9" s="582"/>
      <c r="I9" s="178" t="str" cm="1">
        <f t="array" ref="I9">_xlfn.IFS(D8&lt;100,"very poor",D8&lt;=150,"average",D8&gt;=150,"Good")</f>
        <v>Good</v>
      </c>
      <c r="J9" s="578"/>
      <c r="K9" s="139"/>
      <c r="L9" s="139"/>
    </row>
    <row r="10" spans="2:12" ht="24.6" thickBot="1" x14ac:dyDescent="0.35">
      <c r="B10" s="171">
        <v>8</v>
      </c>
      <c r="C10" s="173" t="s">
        <v>315</v>
      </c>
      <c r="D10" s="173">
        <v>90</v>
      </c>
      <c r="E10" s="173" t="str">
        <f t="shared" si="0"/>
        <v>Good</v>
      </c>
      <c r="F10" s="572"/>
      <c r="G10" s="122"/>
      <c r="H10" s="115"/>
      <c r="I10" s="142"/>
      <c r="J10" s="578"/>
      <c r="K10" s="139"/>
      <c r="L10" s="139"/>
    </row>
    <row r="11" spans="2:12" ht="26.4" thickBot="1" x14ac:dyDescent="0.35">
      <c r="B11" s="171">
        <v>9</v>
      </c>
      <c r="C11" s="173" t="s">
        <v>316</v>
      </c>
      <c r="D11" s="173">
        <v>150</v>
      </c>
      <c r="E11" s="173" t="str">
        <f t="shared" si="0"/>
        <v>Good</v>
      </c>
      <c r="F11" s="572"/>
      <c r="G11" s="123"/>
      <c r="H11" s="583" t="s">
        <v>317</v>
      </c>
      <c r="I11" s="180" t="str" cm="1">
        <f t="array" ref="I11">_xlfn.IFS(D10&lt;100,"very poor",D10&lt;=100,"poor",D10&lt;=150,"Good",D10&gt;=200,"excellent")</f>
        <v>very poor</v>
      </c>
      <c r="J11" s="578"/>
      <c r="K11" s="139"/>
      <c r="L11" s="139"/>
    </row>
    <row r="12" spans="2:12" ht="26.4" thickBot="1" x14ac:dyDescent="0.4">
      <c r="B12" s="171">
        <v>10</v>
      </c>
      <c r="C12" s="173" t="s">
        <v>318</v>
      </c>
      <c r="D12" s="173">
        <v>200</v>
      </c>
      <c r="E12" s="173" t="str">
        <f t="shared" si="0"/>
        <v>Excellent</v>
      </c>
      <c r="F12" s="572"/>
      <c r="G12" s="123"/>
      <c r="H12" s="584"/>
      <c r="I12" s="180" t="str" cm="1">
        <f t="array" ref="I12">_xlfn.IFS(D11&lt;100,"very poor",D11&lt;=100,"poor",D11&lt;=150,"Good",D11&gt;=200,"excellent")</f>
        <v>Good</v>
      </c>
      <c r="J12" s="578"/>
      <c r="K12" s="139"/>
      <c r="L12" s="179"/>
    </row>
    <row r="13" spans="2:12" ht="26.4" thickBot="1" x14ac:dyDescent="0.35">
      <c r="B13" s="171">
        <v>11</v>
      </c>
      <c r="C13" s="173" t="s">
        <v>319</v>
      </c>
      <c r="D13" s="173">
        <v>170</v>
      </c>
      <c r="E13" s="173" t="str">
        <f t="shared" si="0"/>
        <v>Good</v>
      </c>
      <c r="F13" s="572"/>
      <c r="G13" s="123"/>
      <c r="H13" s="585"/>
      <c r="I13" s="180" t="str" cm="1">
        <f t="array" ref="I13">_xlfn.IFS(D12&lt;100,"very poor",D12&lt;=100,"poor",D12&lt;=150,"Good",D12&gt;=200,"excellent")</f>
        <v>excellent</v>
      </c>
      <c r="J13" s="579"/>
      <c r="K13" s="139"/>
      <c r="L13" s="139"/>
    </row>
    <row r="14" spans="2:12" ht="24.6" thickBot="1" x14ac:dyDescent="0.35">
      <c r="B14" s="171">
        <v>12</v>
      </c>
      <c r="C14" s="173" t="s">
        <v>320</v>
      </c>
      <c r="D14" s="173">
        <v>180</v>
      </c>
      <c r="E14" s="173" t="str">
        <f t="shared" si="0"/>
        <v>Excellent</v>
      </c>
      <c r="F14" s="572"/>
      <c r="G14" s="123"/>
      <c r="H14" s="586" t="s">
        <v>281</v>
      </c>
      <c r="I14" s="587"/>
      <c r="J14" s="122"/>
      <c r="K14" s="139"/>
      <c r="L14" s="139"/>
    </row>
    <row r="15" spans="2:12" ht="24.6" thickBot="1" x14ac:dyDescent="0.35">
      <c r="B15" s="171">
        <v>13</v>
      </c>
      <c r="C15" s="173" t="s">
        <v>237</v>
      </c>
      <c r="D15" s="173">
        <v>190</v>
      </c>
      <c r="E15" s="173" t="str">
        <f t="shared" si="0"/>
        <v>Excellent</v>
      </c>
      <c r="F15" s="572"/>
      <c r="G15" s="122"/>
      <c r="H15" s="122"/>
      <c r="I15" s="122"/>
      <c r="J15" s="122"/>
      <c r="K15" s="139"/>
      <c r="L15" s="139"/>
    </row>
    <row r="16" spans="2:12" ht="24.6" thickBot="1" x14ac:dyDescent="0.35">
      <c r="B16" s="171">
        <v>14</v>
      </c>
      <c r="C16" s="173" t="s">
        <v>321</v>
      </c>
      <c r="D16" s="173">
        <v>160</v>
      </c>
      <c r="E16" s="173" t="str">
        <f t="shared" si="0"/>
        <v>Good</v>
      </c>
      <c r="F16" s="572"/>
      <c r="G16" s="122"/>
      <c r="H16" s="122"/>
      <c r="I16" s="122"/>
      <c r="J16" s="122"/>
      <c r="K16" s="139"/>
      <c r="L16" s="139"/>
    </row>
    <row r="17" spans="2:13" ht="24.6" thickBot="1" x14ac:dyDescent="0.35">
      <c r="B17" s="171">
        <v>15</v>
      </c>
      <c r="C17" s="173" t="s">
        <v>322</v>
      </c>
      <c r="D17" s="173">
        <v>100</v>
      </c>
      <c r="E17" s="173" t="str">
        <f t="shared" si="0"/>
        <v>Good</v>
      </c>
      <c r="F17" s="572"/>
      <c r="G17" s="122"/>
      <c r="H17" s="122"/>
      <c r="I17" s="122"/>
      <c r="J17" s="122"/>
      <c r="K17" s="139"/>
      <c r="L17" s="139"/>
    </row>
    <row r="18" spans="2:13" ht="24.6" thickBot="1" x14ac:dyDescent="0.35">
      <c r="B18" s="171">
        <v>16</v>
      </c>
      <c r="C18" s="173" t="s">
        <v>323</v>
      </c>
      <c r="D18" s="173">
        <v>140</v>
      </c>
      <c r="E18" s="173" t="str">
        <f t="shared" si="0"/>
        <v>Good</v>
      </c>
      <c r="F18" s="572"/>
      <c r="G18" s="122"/>
      <c r="H18" s="184"/>
      <c r="I18" s="122"/>
      <c r="J18" s="122"/>
      <c r="K18" s="139"/>
      <c r="L18" s="139"/>
    </row>
    <row r="19" spans="2:13" ht="27" thickBot="1" x14ac:dyDescent="0.35">
      <c r="B19" s="171">
        <v>17</v>
      </c>
      <c r="C19" s="173" t="s">
        <v>324</v>
      </c>
      <c r="D19" s="173">
        <v>130</v>
      </c>
      <c r="E19" s="173" t="str">
        <f t="shared" si="0"/>
        <v>Good</v>
      </c>
      <c r="F19" s="572"/>
      <c r="G19" s="182"/>
      <c r="H19" s="185"/>
      <c r="I19" s="183" t="s">
        <v>355</v>
      </c>
      <c r="J19" s="122"/>
      <c r="K19" s="139"/>
      <c r="L19" s="139"/>
    </row>
    <row r="20" spans="2:13" ht="27" thickBot="1" x14ac:dyDescent="0.35">
      <c r="B20" s="171">
        <v>18</v>
      </c>
      <c r="C20" s="173" t="s">
        <v>325</v>
      </c>
      <c r="D20" s="173">
        <v>200</v>
      </c>
      <c r="E20" s="173" t="str">
        <f t="shared" si="0"/>
        <v>Excellent</v>
      </c>
      <c r="F20" s="572"/>
      <c r="G20" s="182"/>
      <c r="H20" s="185"/>
      <c r="I20" s="183"/>
      <c r="J20" s="122"/>
      <c r="K20" s="139"/>
      <c r="L20" s="139"/>
    </row>
    <row r="21" spans="2:13" ht="24.6" thickBot="1" x14ac:dyDescent="0.45">
      <c r="B21" s="171">
        <v>19</v>
      </c>
      <c r="C21" s="173" t="s">
        <v>326</v>
      </c>
      <c r="D21" s="173">
        <v>150</v>
      </c>
      <c r="E21" s="173" t="str">
        <f t="shared" si="0"/>
        <v>Good</v>
      </c>
      <c r="F21" s="573"/>
      <c r="G21" s="122"/>
      <c r="H21" s="186" t="s">
        <v>121</v>
      </c>
      <c r="I21" s="187" t="s">
        <v>122</v>
      </c>
      <c r="J21" s="188" t="s">
        <v>123</v>
      </c>
      <c r="K21" s="187" t="s">
        <v>124</v>
      </c>
      <c r="L21" s="181" t="s">
        <v>309</v>
      </c>
      <c r="M21" s="206">
        <f>SUMIF(Table5[Regions],"west",Table5[Prices])</f>
        <v>150000</v>
      </c>
    </row>
    <row r="22" spans="2:13" ht="24.6" thickBot="1" x14ac:dyDescent="0.35">
      <c r="B22" s="171">
        <v>20</v>
      </c>
      <c r="C22" s="173" t="s">
        <v>327</v>
      </c>
      <c r="D22" s="173">
        <v>120</v>
      </c>
      <c r="E22" s="173" t="str">
        <f t="shared" si="0"/>
        <v>Good</v>
      </c>
      <c r="F22" s="571" t="s">
        <v>305</v>
      </c>
      <c r="G22" s="122"/>
      <c r="H22" s="189" t="s">
        <v>125</v>
      </c>
      <c r="I22" s="190">
        <v>5000</v>
      </c>
      <c r="J22" s="191">
        <v>45299</v>
      </c>
      <c r="K22" s="192" t="s">
        <v>126</v>
      </c>
      <c r="L22" s="117" t="s">
        <v>310</v>
      </c>
    </row>
    <row r="23" spans="2:13" ht="24.6" thickBot="1" x14ac:dyDescent="0.35">
      <c r="B23" s="171">
        <v>21</v>
      </c>
      <c r="C23" s="173" t="s">
        <v>328</v>
      </c>
      <c r="D23" s="173">
        <v>140</v>
      </c>
      <c r="E23" s="173" t="str">
        <f t="shared" si="0"/>
        <v>Good</v>
      </c>
      <c r="F23" s="572"/>
      <c r="G23" s="122"/>
      <c r="H23" s="189" t="s">
        <v>127</v>
      </c>
      <c r="I23" s="190">
        <v>6000</v>
      </c>
      <c r="J23" s="191">
        <v>45297</v>
      </c>
      <c r="K23" s="192" t="s">
        <v>128</v>
      </c>
      <c r="L23" s="139"/>
    </row>
    <row r="24" spans="2:13" ht="24.6" thickBot="1" x14ac:dyDescent="0.35">
      <c r="B24" s="171">
        <v>22</v>
      </c>
      <c r="C24" s="173" t="s">
        <v>329</v>
      </c>
      <c r="D24" s="173">
        <v>80</v>
      </c>
      <c r="E24" s="173" t="str">
        <f t="shared" si="0"/>
        <v>Good</v>
      </c>
      <c r="F24" s="572"/>
      <c r="G24" s="122"/>
      <c r="H24" s="189" t="s">
        <v>129</v>
      </c>
      <c r="I24" s="190">
        <v>7000</v>
      </c>
      <c r="J24" s="191">
        <v>45308</v>
      </c>
      <c r="K24" s="192" t="s">
        <v>128</v>
      </c>
      <c r="L24" s="139"/>
    </row>
    <row r="25" spans="2:13" ht="24.6" thickBot="1" x14ac:dyDescent="0.35">
      <c r="B25" s="171">
        <v>23</v>
      </c>
      <c r="C25" s="173" t="s">
        <v>330</v>
      </c>
      <c r="D25" s="173">
        <v>130</v>
      </c>
      <c r="E25" s="173" t="str">
        <f t="shared" si="0"/>
        <v>Good</v>
      </c>
      <c r="F25" s="572"/>
      <c r="G25" s="122"/>
      <c r="H25" s="189" t="s">
        <v>130</v>
      </c>
      <c r="I25" s="190">
        <v>8000</v>
      </c>
      <c r="J25" s="191">
        <v>45301</v>
      </c>
      <c r="K25" s="192" t="s">
        <v>128</v>
      </c>
      <c r="L25" s="139"/>
    </row>
    <row r="26" spans="2:13" ht="24.6" thickBot="1" x14ac:dyDescent="0.35">
      <c r="B26" s="171">
        <v>24</v>
      </c>
      <c r="C26" s="173" t="s">
        <v>331</v>
      </c>
      <c r="D26" s="173">
        <v>190</v>
      </c>
      <c r="E26" s="173" t="str">
        <f t="shared" si="0"/>
        <v>Excellent</v>
      </c>
      <c r="F26" s="572"/>
      <c r="G26" s="122"/>
      <c r="H26" s="189" t="s">
        <v>131</v>
      </c>
      <c r="I26" s="190">
        <v>9000</v>
      </c>
      <c r="J26" s="191">
        <v>45297</v>
      </c>
      <c r="K26" s="192" t="s">
        <v>132</v>
      </c>
      <c r="L26" s="118"/>
    </row>
    <row r="27" spans="2:13" ht="24.6" thickBot="1" x14ac:dyDescent="0.35">
      <c r="B27" s="171">
        <v>25</v>
      </c>
      <c r="C27" s="173" t="s">
        <v>235</v>
      </c>
      <c r="D27" s="173">
        <v>190</v>
      </c>
      <c r="E27" s="173" t="str">
        <f t="shared" si="0"/>
        <v>Excellent</v>
      </c>
      <c r="F27" s="572"/>
      <c r="G27" s="122"/>
      <c r="H27" s="189" t="s">
        <v>133</v>
      </c>
      <c r="I27" s="190">
        <v>10000</v>
      </c>
      <c r="J27" s="191">
        <v>45292</v>
      </c>
      <c r="K27" s="192" t="s">
        <v>134</v>
      </c>
      <c r="L27" s="139"/>
    </row>
    <row r="28" spans="2:13" ht="24.6" thickBot="1" x14ac:dyDescent="0.35">
      <c r="B28" s="171">
        <v>26</v>
      </c>
      <c r="C28" s="173" t="s">
        <v>332</v>
      </c>
      <c r="D28" s="173">
        <v>150</v>
      </c>
      <c r="E28" s="173" t="str">
        <f t="shared" si="0"/>
        <v>Good</v>
      </c>
      <c r="F28" s="572"/>
      <c r="G28" s="122"/>
      <c r="H28" s="189" t="s">
        <v>129</v>
      </c>
      <c r="I28" s="190">
        <v>10000</v>
      </c>
      <c r="J28" s="191">
        <v>45313</v>
      </c>
      <c r="K28" s="192" t="s">
        <v>126</v>
      </c>
      <c r="L28" s="139"/>
    </row>
    <row r="29" spans="2:13" ht="24.6" thickBot="1" x14ac:dyDescent="0.35">
      <c r="B29" s="171">
        <v>27</v>
      </c>
      <c r="C29" s="173" t="s">
        <v>333</v>
      </c>
      <c r="D29" s="173">
        <v>200</v>
      </c>
      <c r="E29" s="173" t="str">
        <f t="shared" si="0"/>
        <v>Excellent</v>
      </c>
      <c r="F29" s="572"/>
      <c r="G29" s="122"/>
      <c r="H29" s="189" t="s">
        <v>135</v>
      </c>
      <c r="I29" s="190">
        <v>15000</v>
      </c>
      <c r="J29" s="191">
        <v>45294</v>
      </c>
      <c r="K29" s="192" t="s">
        <v>134</v>
      </c>
      <c r="L29" s="139"/>
    </row>
    <row r="30" spans="2:13" ht="24.6" thickBot="1" x14ac:dyDescent="0.35">
      <c r="B30" s="171">
        <v>28</v>
      </c>
      <c r="C30" s="173" t="s">
        <v>334</v>
      </c>
      <c r="D30" s="173">
        <v>170</v>
      </c>
      <c r="E30" s="173" t="str">
        <f t="shared" si="0"/>
        <v>Good</v>
      </c>
      <c r="F30" s="572"/>
      <c r="G30" s="122"/>
      <c r="H30" s="189" t="s">
        <v>136</v>
      </c>
      <c r="I30" s="190">
        <v>18000</v>
      </c>
      <c r="J30" s="191">
        <v>45310</v>
      </c>
      <c r="K30" s="192" t="s">
        <v>134</v>
      </c>
      <c r="L30" s="139"/>
    </row>
    <row r="31" spans="2:13" ht="24.6" thickBot="1" x14ac:dyDescent="0.35">
      <c r="B31" s="171">
        <v>29</v>
      </c>
      <c r="C31" s="173" t="s">
        <v>335</v>
      </c>
      <c r="D31" s="173">
        <v>180</v>
      </c>
      <c r="E31" s="173" t="str">
        <f t="shared" si="0"/>
        <v>Excellent</v>
      </c>
      <c r="F31" s="572"/>
      <c r="G31" s="122"/>
      <c r="H31" s="189" t="s">
        <v>137</v>
      </c>
      <c r="I31" s="190">
        <v>25000</v>
      </c>
      <c r="J31" s="191">
        <v>45311</v>
      </c>
      <c r="K31" s="192" t="s">
        <v>132</v>
      </c>
      <c r="L31" s="139"/>
    </row>
    <row r="32" spans="2:13" ht="24.6" thickBot="1" x14ac:dyDescent="0.35">
      <c r="B32" s="171">
        <v>30</v>
      </c>
      <c r="C32" s="173" t="s">
        <v>336</v>
      </c>
      <c r="D32" s="173">
        <v>190</v>
      </c>
      <c r="E32" s="173" t="str">
        <f t="shared" si="0"/>
        <v>Excellent</v>
      </c>
      <c r="F32" s="572"/>
      <c r="G32" s="122"/>
      <c r="H32" s="189" t="s">
        <v>138</v>
      </c>
      <c r="I32" s="190">
        <v>25000</v>
      </c>
      <c r="J32" s="191">
        <v>45301</v>
      </c>
      <c r="K32" s="192" t="s">
        <v>134</v>
      </c>
      <c r="L32" s="139"/>
    </row>
    <row r="33" spans="2:12" ht="24.6" thickBot="1" x14ac:dyDescent="0.35">
      <c r="B33" s="171">
        <v>31</v>
      </c>
      <c r="C33" s="173" t="s">
        <v>337</v>
      </c>
      <c r="D33" s="173">
        <v>160</v>
      </c>
      <c r="E33" s="173" t="str">
        <f t="shared" si="0"/>
        <v>Good</v>
      </c>
      <c r="F33" s="572"/>
      <c r="G33" s="122"/>
      <c r="H33" s="189" t="s">
        <v>139</v>
      </c>
      <c r="I33" s="190">
        <v>30000</v>
      </c>
      <c r="J33" s="191">
        <v>45306</v>
      </c>
      <c r="K33" s="192" t="s">
        <v>126</v>
      </c>
      <c r="L33" s="139"/>
    </row>
    <row r="34" spans="2:12" ht="24.6" thickBot="1" x14ac:dyDescent="0.35">
      <c r="B34" s="171">
        <v>32</v>
      </c>
      <c r="C34" s="173" t="s">
        <v>338</v>
      </c>
      <c r="D34" s="173">
        <v>100</v>
      </c>
      <c r="E34" s="173" t="str">
        <f t="shared" si="0"/>
        <v>Good</v>
      </c>
      <c r="F34" s="572"/>
      <c r="G34" s="122"/>
      <c r="H34" s="189" t="s">
        <v>140</v>
      </c>
      <c r="I34" s="190">
        <v>30000</v>
      </c>
      <c r="J34" s="191">
        <v>45304</v>
      </c>
      <c r="K34" s="192" t="s">
        <v>126</v>
      </c>
      <c r="L34" s="139"/>
    </row>
    <row r="35" spans="2:12" ht="24.6" thickBot="1" x14ac:dyDescent="0.35">
      <c r="B35" s="171">
        <v>33</v>
      </c>
      <c r="C35" s="173" t="s">
        <v>339</v>
      </c>
      <c r="D35" s="173">
        <v>140</v>
      </c>
      <c r="E35" s="173" t="str">
        <f>IF(D35&gt;=180,"Excellent","Good")</f>
        <v>Good</v>
      </c>
      <c r="F35" s="573"/>
      <c r="G35" s="122"/>
      <c r="H35" s="189" t="s">
        <v>141</v>
      </c>
      <c r="I35" s="190">
        <v>35000</v>
      </c>
      <c r="J35" s="191">
        <v>45304</v>
      </c>
      <c r="K35" s="192" t="s">
        <v>126</v>
      </c>
      <c r="L35" s="139"/>
    </row>
    <row r="36" spans="2:12" ht="24" thickBot="1" x14ac:dyDescent="0.5">
      <c r="B36" s="175"/>
      <c r="C36" s="175"/>
      <c r="D36" s="175"/>
      <c r="E36" s="175"/>
      <c r="H36" s="189" t="s">
        <v>142</v>
      </c>
      <c r="I36" s="193">
        <v>36000</v>
      </c>
      <c r="J36" s="191">
        <v>45302</v>
      </c>
      <c r="K36" s="192" t="s">
        <v>132</v>
      </c>
    </row>
    <row r="37" spans="2:12" ht="24" thickBot="1" x14ac:dyDescent="0.5">
      <c r="B37" s="175"/>
      <c r="C37" s="175"/>
      <c r="D37" s="175"/>
      <c r="E37" s="175"/>
      <c r="H37" s="194" t="s">
        <v>143</v>
      </c>
      <c r="I37" s="195"/>
      <c r="J37" s="196">
        <v>45303</v>
      </c>
      <c r="K37" s="192" t="s">
        <v>132</v>
      </c>
    </row>
    <row r="38" spans="2:12" ht="20.399999999999999" x14ac:dyDescent="0.3">
      <c r="H38" s="189" t="s">
        <v>125</v>
      </c>
      <c r="I38" s="197">
        <v>45000</v>
      </c>
      <c r="J38" s="191">
        <v>45298</v>
      </c>
      <c r="K38" s="192" t="s">
        <v>128</v>
      </c>
    </row>
    <row r="39" spans="2:12" ht="21" thickBot="1" x14ac:dyDescent="0.35">
      <c r="H39" s="189" t="s">
        <v>131</v>
      </c>
      <c r="I39" s="198">
        <v>50000</v>
      </c>
      <c r="J39" s="199">
        <v>45313</v>
      </c>
      <c r="K39" s="200" t="s">
        <v>134</v>
      </c>
    </row>
    <row r="40" spans="2:12" ht="21.6" thickBot="1" x14ac:dyDescent="0.35">
      <c r="H40" s="194" t="s">
        <v>136</v>
      </c>
      <c r="I40" s="201" t="s">
        <v>144</v>
      </c>
      <c r="J40" s="202">
        <v>45295</v>
      </c>
      <c r="K40" s="203" t="s">
        <v>132</v>
      </c>
    </row>
    <row r="41" spans="2:12" ht="20.399999999999999" x14ac:dyDescent="0.3">
      <c r="H41" s="189" t="s">
        <v>138</v>
      </c>
      <c r="I41" s="197">
        <v>80000</v>
      </c>
      <c r="J41" s="204">
        <v>45296</v>
      </c>
      <c r="K41" s="203" t="s">
        <v>132</v>
      </c>
    </row>
    <row r="42" spans="2:12" ht="21" x14ac:dyDescent="0.4">
      <c r="H42" s="205" t="s">
        <v>356</v>
      </c>
      <c r="I42" s="208">
        <f>SUBTOTAL(109,Table5[Prices])</f>
        <v>444000</v>
      </c>
      <c r="J42" s="206"/>
      <c r="K42" s="207">
        <f>SUBTOTAL(103,Table5[Regions])</f>
        <v>20</v>
      </c>
    </row>
  </sheetData>
  <mergeCells count="7">
    <mergeCell ref="F22:F35"/>
    <mergeCell ref="F3:F21"/>
    <mergeCell ref="H3:H5"/>
    <mergeCell ref="J3:J13"/>
    <mergeCell ref="H7:H9"/>
    <mergeCell ref="H11:H13"/>
    <mergeCell ref="H14:I14"/>
  </mergeCell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B5503-D3F9-4AF3-8DD3-B1EEE4EEC947}">
  <dimension ref="B1:O28"/>
  <sheetViews>
    <sheetView zoomScale="86" workbookViewId="0">
      <selection activeCell="I1" sqref="I1"/>
    </sheetView>
  </sheetViews>
  <sheetFormatPr defaultRowHeight="14.4" x14ac:dyDescent="0.3"/>
  <cols>
    <col min="2" max="2" width="13.44140625" customWidth="1"/>
    <col min="3" max="3" width="16.88671875" customWidth="1"/>
    <col min="4" max="4" width="9.109375" bestFit="1" customWidth="1"/>
    <col min="5" max="5" width="11.77734375" customWidth="1"/>
    <col min="6" max="6" width="14.109375" customWidth="1"/>
    <col min="7" max="7" width="16" customWidth="1"/>
    <col min="8" max="8" width="22.33203125" customWidth="1"/>
    <col min="9" max="10" width="20.77734375" customWidth="1"/>
    <col min="11" max="11" width="13.44140625" customWidth="1"/>
    <col min="12" max="12" width="50.6640625" customWidth="1"/>
    <col min="13" max="13" width="49.109375" customWidth="1"/>
    <col min="14" max="14" width="14.6640625" customWidth="1"/>
    <col min="15" max="15" width="16.77734375" customWidth="1"/>
  </cols>
  <sheetData>
    <row r="1" spans="2:15" ht="30.6" customHeight="1" x14ac:dyDescent="0.3">
      <c r="G1" s="245" t="s">
        <v>378</v>
      </c>
      <c r="H1" s="272" t="s">
        <v>379</v>
      </c>
      <c r="I1" s="266"/>
      <c r="J1" s="266"/>
    </row>
    <row r="2" spans="2:15" ht="15.6" x14ac:dyDescent="0.3">
      <c r="B2" s="84" t="s">
        <v>168</v>
      </c>
      <c r="C2" s="84" t="s">
        <v>169</v>
      </c>
      <c r="D2" s="84" t="s">
        <v>375</v>
      </c>
      <c r="E2" s="84" t="s">
        <v>376</v>
      </c>
      <c r="F2" s="84" t="s">
        <v>377</v>
      </c>
    </row>
    <row r="3" spans="2:15" ht="17.399999999999999" x14ac:dyDescent="0.3">
      <c r="B3" s="85">
        <v>1</v>
      </c>
      <c r="C3" s="240" t="s">
        <v>223</v>
      </c>
      <c r="D3" s="241">
        <v>10</v>
      </c>
      <c r="E3" s="241">
        <v>100</v>
      </c>
      <c r="F3" s="241">
        <v>90</v>
      </c>
    </row>
    <row r="4" spans="2:15" ht="17.399999999999999" x14ac:dyDescent="0.3">
      <c r="B4" s="85">
        <v>2</v>
      </c>
      <c r="C4" s="240" t="s">
        <v>224</v>
      </c>
      <c r="D4" s="241">
        <v>20</v>
      </c>
      <c r="E4" s="241">
        <v>60</v>
      </c>
      <c r="F4" s="241">
        <v>70</v>
      </c>
    </row>
    <row r="5" spans="2:15" ht="18.600000000000001" x14ac:dyDescent="0.3">
      <c r="B5" s="85">
        <v>3</v>
      </c>
      <c r="C5" s="242" t="s">
        <v>308</v>
      </c>
      <c r="D5" s="243">
        <v>30</v>
      </c>
      <c r="E5" s="243">
        <v>80</v>
      </c>
      <c r="F5" s="243">
        <v>50</v>
      </c>
      <c r="I5" s="251"/>
      <c r="J5" s="251"/>
      <c r="K5" s="251"/>
      <c r="L5" s="252" t="s">
        <v>386</v>
      </c>
      <c r="M5" s="252" t="s">
        <v>387</v>
      </c>
      <c r="N5" s="252" t="s">
        <v>388</v>
      </c>
      <c r="O5" s="253" t="s">
        <v>304</v>
      </c>
    </row>
    <row r="6" spans="2:15" ht="18.600000000000001" x14ac:dyDescent="0.3">
      <c r="B6" s="85">
        <v>4</v>
      </c>
      <c r="C6" s="242" t="s">
        <v>242</v>
      </c>
      <c r="D6" s="243">
        <v>80</v>
      </c>
      <c r="E6" s="243">
        <v>71</v>
      </c>
      <c r="F6" s="243">
        <v>90</v>
      </c>
      <c r="I6" s="591" t="s">
        <v>389</v>
      </c>
      <c r="J6" s="591"/>
      <c r="K6" s="591"/>
      <c r="L6" s="251" t="b">
        <v>1</v>
      </c>
      <c r="M6" s="251" t="b">
        <v>1</v>
      </c>
      <c r="N6" s="251" t="b">
        <v>1</v>
      </c>
      <c r="O6" s="254" t="b">
        <v>1</v>
      </c>
    </row>
    <row r="7" spans="2:15" ht="18.600000000000001" x14ac:dyDescent="0.3">
      <c r="B7" s="85">
        <v>5</v>
      </c>
      <c r="C7" s="85" t="s">
        <v>311</v>
      </c>
      <c r="D7" s="86">
        <v>50</v>
      </c>
      <c r="E7" s="86">
        <v>60</v>
      </c>
      <c r="F7" s="86">
        <v>40</v>
      </c>
      <c r="I7" s="591"/>
      <c r="J7" s="591"/>
      <c r="K7" s="591"/>
      <c r="L7" s="251" t="b">
        <v>0</v>
      </c>
      <c r="M7" s="251" t="b">
        <v>1</v>
      </c>
      <c r="N7" s="251" t="b">
        <v>1</v>
      </c>
      <c r="O7" s="254" t="b">
        <v>1</v>
      </c>
    </row>
    <row r="8" spans="2:15" ht="18.600000000000001" x14ac:dyDescent="0.3">
      <c r="B8" s="85">
        <v>6</v>
      </c>
      <c r="C8" s="85" t="s">
        <v>313</v>
      </c>
      <c r="D8" s="86">
        <v>60</v>
      </c>
      <c r="E8" s="86">
        <v>50</v>
      </c>
      <c r="F8" s="86">
        <v>80</v>
      </c>
      <c r="I8" s="591"/>
      <c r="J8" s="591"/>
      <c r="K8" s="591"/>
      <c r="L8" s="251" t="b">
        <v>1</v>
      </c>
      <c r="M8" s="251" t="b">
        <v>0</v>
      </c>
      <c r="N8" s="251" t="b">
        <v>0</v>
      </c>
      <c r="O8" s="254" t="b">
        <v>1</v>
      </c>
    </row>
    <row r="9" spans="2:15" ht="18.600000000000001" x14ac:dyDescent="0.3">
      <c r="B9" s="85">
        <v>7</v>
      </c>
      <c r="C9" s="85" t="s">
        <v>314</v>
      </c>
      <c r="D9" s="86">
        <v>70</v>
      </c>
      <c r="E9" s="86">
        <v>40</v>
      </c>
      <c r="F9" s="86">
        <v>100</v>
      </c>
      <c r="I9" s="591"/>
      <c r="J9" s="591"/>
      <c r="K9" s="591"/>
      <c r="L9" s="251" t="b">
        <v>0</v>
      </c>
      <c r="M9" s="251" t="b">
        <v>0</v>
      </c>
      <c r="N9" s="251" t="b">
        <v>0</v>
      </c>
      <c r="O9" s="254" t="b">
        <v>0</v>
      </c>
    </row>
    <row r="10" spans="2:15" ht="18.600000000000001" x14ac:dyDescent="0.3">
      <c r="B10" s="85">
        <v>8</v>
      </c>
      <c r="C10" s="85" t="s">
        <v>315</v>
      </c>
      <c r="D10" s="86">
        <v>80</v>
      </c>
      <c r="E10" s="86">
        <v>80</v>
      </c>
      <c r="F10" s="86">
        <v>75</v>
      </c>
      <c r="I10" s="255"/>
      <c r="J10" s="255"/>
      <c r="K10" s="255"/>
      <c r="L10" s="255"/>
      <c r="M10" s="255"/>
      <c r="N10" s="255"/>
      <c r="O10" s="256"/>
    </row>
    <row r="11" spans="2:15" ht="18.600000000000001" x14ac:dyDescent="0.3">
      <c r="B11" s="85">
        <v>9</v>
      </c>
      <c r="C11" s="85" t="s">
        <v>316</v>
      </c>
      <c r="D11" s="86">
        <v>90</v>
      </c>
      <c r="E11" s="86">
        <v>90</v>
      </c>
      <c r="F11" s="86">
        <v>35</v>
      </c>
      <c r="I11" s="592" t="s">
        <v>390</v>
      </c>
      <c r="J11" s="592"/>
      <c r="K11" s="592"/>
      <c r="L11" s="257" t="b">
        <v>1</v>
      </c>
      <c r="M11" s="257" t="b">
        <v>1</v>
      </c>
      <c r="N11" s="257" t="b">
        <v>1</v>
      </c>
      <c r="O11" s="258" t="b">
        <v>1</v>
      </c>
    </row>
    <row r="12" spans="2:15" ht="18.600000000000001" x14ac:dyDescent="0.3">
      <c r="B12" s="85">
        <v>10</v>
      </c>
      <c r="C12" s="85" t="s">
        <v>318</v>
      </c>
      <c r="D12" s="86">
        <v>100</v>
      </c>
      <c r="E12" s="86">
        <v>20</v>
      </c>
      <c r="F12" s="86">
        <v>90</v>
      </c>
      <c r="I12" s="592"/>
      <c r="J12" s="592"/>
      <c r="K12" s="592"/>
      <c r="L12" s="257" t="b">
        <v>0</v>
      </c>
      <c r="M12" s="257" t="b">
        <v>1</v>
      </c>
      <c r="N12" s="257" t="b">
        <v>0</v>
      </c>
      <c r="O12" s="258" t="b">
        <v>0</v>
      </c>
    </row>
    <row r="13" spans="2:15" ht="18.600000000000001" x14ac:dyDescent="0.3">
      <c r="B13" s="85">
        <v>11</v>
      </c>
      <c r="C13" s="85" t="s">
        <v>319</v>
      </c>
      <c r="D13" s="86">
        <v>67</v>
      </c>
      <c r="E13" s="86">
        <v>30</v>
      </c>
      <c r="F13" s="86">
        <v>25</v>
      </c>
      <c r="I13" s="592"/>
      <c r="J13" s="592"/>
      <c r="K13" s="592"/>
      <c r="L13" s="257" t="b">
        <v>1</v>
      </c>
      <c r="M13" s="257" t="b">
        <v>0</v>
      </c>
      <c r="N13" s="257" t="b">
        <v>0</v>
      </c>
      <c r="O13" s="258" t="b">
        <v>0</v>
      </c>
    </row>
    <row r="14" spans="2:15" ht="18.600000000000001" x14ac:dyDescent="0.3">
      <c r="B14" s="85">
        <v>12</v>
      </c>
      <c r="C14" s="85" t="s">
        <v>320</v>
      </c>
      <c r="D14" s="86">
        <v>80</v>
      </c>
      <c r="E14" s="86">
        <v>50</v>
      </c>
      <c r="F14" s="86">
        <v>85</v>
      </c>
      <c r="I14" s="592"/>
      <c r="J14" s="592"/>
      <c r="K14" s="592"/>
      <c r="L14" s="257" t="b">
        <v>0</v>
      </c>
      <c r="M14" s="257" t="b">
        <v>0</v>
      </c>
      <c r="N14" s="257" t="b">
        <v>0</v>
      </c>
      <c r="O14" s="258" t="b">
        <v>0</v>
      </c>
    </row>
    <row r="15" spans="2:15" ht="18.600000000000001" x14ac:dyDescent="0.3">
      <c r="B15" s="85">
        <v>13</v>
      </c>
      <c r="C15" s="85" t="s">
        <v>237</v>
      </c>
      <c r="D15" s="86">
        <v>90</v>
      </c>
      <c r="E15" s="86">
        <v>100</v>
      </c>
      <c r="F15" s="86">
        <v>50</v>
      </c>
      <c r="I15" s="259"/>
      <c r="J15" s="259"/>
      <c r="K15" s="259"/>
      <c r="L15" s="259"/>
      <c r="M15" s="259"/>
      <c r="N15" s="259"/>
      <c r="O15" s="260"/>
    </row>
    <row r="16" spans="2:15" ht="18.600000000000001" x14ac:dyDescent="0.3">
      <c r="B16" s="85">
        <v>14</v>
      </c>
      <c r="C16" s="85" t="s">
        <v>321</v>
      </c>
      <c r="D16" s="86">
        <v>40</v>
      </c>
      <c r="E16" s="86">
        <v>70</v>
      </c>
      <c r="F16" s="86">
        <v>60</v>
      </c>
      <c r="I16" s="593" t="s">
        <v>391</v>
      </c>
      <c r="J16" s="593"/>
      <c r="K16" s="593"/>
      <c r="L16" s="261" t="b">
        <v>1</v>
      </c>
      <c r="M16" s="261" t="b">
        <v>0</v>
      </c>
      <c r="N16" s="261" t="b">
        <v>1</v>
      </c>
      <c r="O16" s="262" t="b">
        <v>0</v>
      </c>
    </row>
    <row r="17" spans="2:15" ht="18.600000000000001" x14ac:dyDescent="0.3">
      <c r="B17" s="85"/>
      <c r="C17" s="85"/>
      <c r="D17" s="86"/>
      <c r="E17" s="86"/>
      <c r="F17" s="244"/>
      <c r="I17" s="593"/>
      <c r="J17" s="593"/>
      <c r="K17" s="593"/>
      <c r="L17" s="261" t="b">
        <v>1</v>
      </c>
      <c r="M17" s="261" t="b">
        <v>1</v>
      </c>
      <c r="N17" s="261" t="b">
        <v>1</v>
      </c>
      <c r="O17" s="262" t="b">
        <v>1</v>
      </c>
    </row>
    <row r="18" spans="2:15" ht="18.600000000000001" x14ac:dyDescent="0.3">
      <c r="I18" s="593"/>
      <c r="J18" s="593"/>
      <c r="K18" s="593"/>
      <c r="L18" s="261" t="b">
        <v>0</v>
      </c>
      <c r="M18" s="261" t="b">
        <v>1</v>
      </c>
      <c r="N18" s="261" t="b">
        <v>0</v>
      </c>
      <c r="O18" s="262" t="b">
        <v>1</v>
      </c>
    </row>
    <row r="19" spans="2:15" ht="18.600000000000001" x14ac:dyDescent="0.3">
      <c r="I19" s="593"/>
      <c r="J19" s="593"/>
      <c r="K19" s="593"/>
      <c r="L19" s="261" t="b">
        <v>0</v>
      </c>
      <c r="M19" s="261" t="b">
        <v>0</v>
      </c>
      <c r="N19" s="261" t="b">
        <v>0</v>
      </c>
      <c r="O19" s="262" t="b">
        <v>0</v>
      </c>
    </row>
    <row r="20" spans="2:15" ht="55.8" x14ac:dyDescent="0.3">
      <c r="B20" s="588" t="s">
        <v>380</v>
      </c>
      <c r="C20" s="247" t="s">
        <v>381</v>
      </c>
      <c r="D20" s="247" t="b">
        <f>OR(D3&gt;70,E3&gt;70,F3&gt;70)</f>
        <v>1</v>
      </c>
      <c r="E20" s="589" t="s">
        <v>382</v>
      </c>
      <c r="F20" s="249" t="b">
        <f>AND(D3&gt;70,E3&gt;70,F3&gt;70)</f>
        <v>0</v>
      </c>
      <c r="G20" s="250" t="s">
        <v>383</v>
      </c>
      <c r="H20" s="250" t="b">
        <f>AND(D5&gt;70,E5&gt;70,F5&gt;70)</f>
        <v>0</v>
      </c>
      <c r="I20" s="593"/>
      <c r="J20" s="593"/>
      <c r="K20" s="593"/>
      <c r="L20" s="263" t="s">
        <v>392</v>
      </c>
      <c r="M20" s="263" t="s">
        <v>393</v>
      </c>
      <c r="N20" s="264"/>
      <c r="O20" s="262"/>
    </row>
    <row r="21" spans="2:15" ht="18" x14ac:dyDescent="0.3">
      <c r="B21" s="588"/>
      <c r="C21" s="246" t="s">
        <v>384</v>
      </c>
      <c r="D21" s="247" t="b">
        <f>OR(D4&gt;70,E4&gt;70,F4&gt;70)</f>
        <v>0</v>
      </c>
      <c r="E21" s="590"/>
      <c r="F21" s="249" t="b">
        <f>AND(D10&gt;70,E10&gt;70,F10&gt;70)</f>
        <v>1</v>
      </c>
      <c r="G21" s="248" t="s">
        <v>385</v>
      </c>
      <c r="H21" s="265" t="b">
        <f>AND(D6&gt;70,E6&gt;70,F6&gt;70)</f>
        <v>1</v>
      </c>
    </row>
    <row r="24" spans="2:15" ht="28.8" x14ac:dyDescent="0.3">
      <c r="E24" s="267" t="s">
        <v>394</v>
      </c>
      <c r="F24" s="268" t="s">
        <v>395</v>
      </c>
    </row>
    <row r="26" spans="2:15" x14ac:dyDescent="0.3">
      <c r="E26" t="b">
        <f>NOT(E16&gt;=70)</f>
        <v>0</v>
      </c>
    </row>
    <row r="27" spans="2:15" x14ac:dyDescent="0.3">
      <c r="E27" t="b">
        <f>NOT(E14&gt;70)</f>
        <v>1</v>
      </c>
    </row>
    <row r="28" spans="2:15" x14ac:dyDescent="0.3">
      <c r="E28" t="b">
        <f>NOT(20&gt;10)</f>
        <v>0</v>
      </c>
    </row>
  </sheetData>
  <mergeCells count="5">
    <mergeCell ref="B20:B21"/>
    <mergeCell ref="E20:E21"/>
    <mergeCell ref="I6:K9"/>
    <mergeCell ref="I11:K14"/>
    <mergeCell ref="I16:K2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B4D8-D524-44EB-82FF-678B54EB9915}">
  <dimension ref="B2:K26"/>
  <sheetViews>
    <sheetView zoomScale="52" zoomScaleNormal="90" workbookViewId="0">
      <selection activeCell="H23" sqref="H23"/>
    </sheetView>
  </sheetViews>
  <sheetFormatPr defaultRowHeight="14.4" x14ac:dyDescent="0.3"/>
  <cols>
    <col min="2" max="2" width="42.21875" customWidth="1"/>
    <col min="3" max="3" width="26.6640625" customWidth="1"/>
    <col min="4" max="4" width="25.44140625" customWidth="1"/>
    <col min="5" max="5" width="25.77734375" customWidth="1"/>
    <col min="6" max="6" width="28.77734375" customWidth="1"/>
    <col min="7" max="7" width="32.77734375" customWidth="1"/>
    <col min="8" max="8" width="61.33203125" customWidth="1"/>
    <col min="9" max="9" width="19.21875" customWidth="1"/>
    <col min="10" max="10" width="31.44140625" customWidth="1"/>
    <col min="11" max="11" width="32.109375" customWidth="1"/>
  </cols>
  <sheetData>
    <row r="2" spans="2:11" ht="57" customHeight="1" x14ac:dyDescent="0.3">
      <c r="G2" s="239" t="s">
        <v>374</v>
      </c>
    </row>
    <row r="3" spans="2:11" ht="36" customHeight="1" x14ac:dyDescent="0.3">
      <c r="B3" s="209" t="s">
        <v>168</v>
      </c>
      <c r="C3" s="209" t="s">
        <v>169</v>
      </c>
      <c r="D3" s="209" t="s">
        <v>170</v>
      </c>
      <c r="E3" s="209" t="s">
        <v>171</v>
      </c>
      <c r="F3" s="209" t="s">
        <v>172</v>
      </c>
      <c r="G3" s="210" t="b">
        <f>_xlfn.XOR(D6&gt;=50, E6&gt;=50, F6&gt;=50)</f>
        <v>0</v>
      </c>
      <c r="H3" s="210"/>
      <c r="I3" s="210"/>
      <c r="J3" s="210"/>
      <c r="K3" s="210"/>
    </row>
    <row r="4" spans="2:11" ht="23.4" x14ac:dyDescent="0.3">
      <c r="B4" s="211">
        <v>1</v>
      </c>
      <c r="C4" s="212" t="s">
        <v>223</v>
      </c>
      <c r="D4" s="213">
        <v>10</v>
      </c>
      <c r="E4" s="213">
        <v>60</v>
      </c>
      <c r="F4" s="213">
        <v>49</v>
      </c>
      <c r="G4" s="210"/>
      <c r="H4" s="210"/>
      <c r="I4" s="210"/>
      <c r="J4" s="210"/>
      <c r="K4" s="210"/>
    </row>
    <row r="5" spans="2:11" ht="23.4" x14ac:dyDescent="0.3">
      <c r="B5" s="211">
        <v>2</v>
      </c>
      <c r="C5" s="212" t="s">
        <v>224</v>
      </c>
      <c r="D5" s="213">
        <v>20</v>
      </c>
      <c r="E5" s="213">
        <v>90</v>
      </c>
      <c r="F5" s="213">
        <v>70</v>
      </c>
      <c r="G5" s="210"/>
      <c r="H5" s="210"/>
      <c r="I5" s="210"/>
      <c r="J5" s="210"/>
      <c r="K5" s="210"/>
    </row>
    <row r="6" spans="2:11" ht="42" x14ac:dyDescent="0.3">
      <c r="B6" s="211">
        <v>3</v>
      </c>
      <c r="C6" s="212" t="s">
        <v>308</v>
      </c>
      <c r="D6" s="213">
        <v>30</v>
      </c>
      <c r="E6" s="213">
        <v>40</v>
      </c>
      <c r="F6" s="213">
        <v>20</v>
      </c>
      <c r="G6" s="210"/>
      <c r="H6" s="209" t="s">
        <v>357</v>
      </c>
      <c r="I6" s="209" t="s">
        <v>358</v>
      </c>
      <c r="J6" s="209" t="s">
        <v>359</v>
      </c>
      <c r="K6" s="209" t="s">
        <v>359</v>
      </c>
    </row>
    <row r="7" spans="2:11" ht="23.4" x14ac:dyDescent="0.3">
      <c r="B7" s="214">
        <v>4</v>
      </c>
      <c r="C7" s="215" t="s">
        <v>242</v>
      </c>
      <c r="D7" s="216">
        <v>60</v>
      </c>
      <c r="E7" s="216">
        <v>70</v>
      </c>
      <c r="F7" s="216">
        <v>35</v>
      </c>
      <c r="G7" s="595" t="s">
        <v>360</v>
      </c>
      <c r="H7" s="217" t="b">
        <f>OR(D4&gt;=50,E4&gt;=50,F4&gt;=50)</f>
        <v>1</v>
      </c>
      <c r="I7" s="218" t="s">
        <v>223</v>
      </c>
      <c r="J7" s="218" t="str">
        <f>IF(H7,"Passes","Failed")</f>
        <v>Passes</v>
      </c>
      <c r="K7" s="218" t="str">
        <f>IF(OR(D4&gt;=50,E4&gt;=50,F4&gt;=50),"Pass","Fail")</f>
        <v>Pass</v>
      </c>
    </row>
    <row r="8" spans="2:11" ht="23.4" x14ac:dyDescent="0.3">
      <c r="B8" s="214">
        <v>5</v>
      </c>
      <c r="C8" s="215" t="s">
        <v>311</v>
      </c>
      <c r="D8" s="216">
        <v>30</v>
      </c>
      <c r="E8" s="216">
        <v>25</v>
      </c>
      <c r="F8" s="216">
        <v>40</v>
      </c>
      <c r="G8" s="595"/>
      <c r="H8" s="217" t="b">
        <f>OR(D5&gt;=50,E5&gt;=50,F5&gt;=50)</f>
        <v>1</v>
      </c>
      <c r="I8" s="218" t="s">
        <v>224</v>
      </c>
      <c r="J8" s="218" t="str">
        <f>IF(H8,"Pass","Fail")</f>
        <v>Pass</v>
      </c>
      <c r="K8" s="218" t="str">
        <f t="shared" ref="K8:K9" si="0">IF(OR(D5&gt;=50,E5&gt;=50,F5&gt;=50),"Pass","Fail")</f>
        <v>Pass</v>
      </c>
    </row>
    <row r="9" spans="2:11" ht="23.4" x14ac:dyDescent="0.3">
      <c r="B9" s="214">
        <v>6</v>
      </c>
      <c r="C9" s="215" t="s">
        <v>313</v>
      </c>
      <c r="D9" s="216">
        <v>60</v>
      </c>
      <c r="E9" s="216">
        <v>50</v>
      </c>
      <c r="F9" s="216">
        <v>80</v>
      </c>
      <c r="G9" s="595"/>
      <c r="H9" s="217" t="b">
        <f>OR(D6&gt;=50,E6&gt;=50,F6&gt;=50)</f>
        <v>0</v>
      </c>
      <c r="I9" s="218" t="s">
        <v>308</v>
      </c>
      <c r="J9" s="218" t="str">
        <f>IF(H9,"Passes","Failed")</f>
        <v>Failed</v>
      </c>
      <c r="K9" s="218" t="str">
        <f t="shared" si="0"/>
        <v>Fail</v>
      </c>
    </row>
    <row r="10" spans="2:11" ht="23.4" x14ac:dyDescent="0.3">
      <c r="B10" s="219">
        <v>7</v>
      </c>
      <c r="C10" s="220" t="s">
        <v>314</v>
      </c>
      <c r="D10" s="221">
        <v>70</v>
      </c>
      <c r="E10" s="221">
        <v>40</v>
      </c>
      <c r="F10" s="221">
        <v>100</v>
      </c>
      <c r="G10" s="210"/>
      <c r="H10" s="222"/>
      <c r="I10" s="223"/>
      <c r="J10" s="223"/>
      <c r="K10" s="223"/>
    </row>
    <row r="11" spans="2:11" ht="23.4" x14ac:dyDescent="0.3">
      <c r="B11" s="219">
        <v>8</v>
      </c>
      <c r="C11" s="220" t="s">
        <v>315</v>
      </c>
      <c r="D11" s="221">
        <v>80</v>
      </c>
      <c r="E11" s="221">
        <v>80</v>
      </c>
      <c r="F11" s="221">
        <v>75</v>
      </c>
      <c r="G11" s="596" t="s">
        <v>361</v>
      </c>
      <c r="H11" s="224" t="b">
        <f>AND(D7&gt;=50,E7&gt;=50,F7&gt;=50)</f>
        <v>0</v>
      </c>
      <c r="I11" s="225" t="s">
        <v>242</v>
      </c>
      <c r="J11" s="225" t="str">
        <f>IF(H11,"Excellent","Poor")</f>
        <v>Poor</v>
      </c>
      <c r="K11" s="225" t="str">
        <f>IF(AND(D7&gt;=50,E7&gt;=50,F7&gt;=50),"Exellent","Poor")</f>
        <v>Poor</v>
      </c>
    </row>
    <row r="12" spans="2:11" ht="23.4" x14ac:dyDescent="0.3">
      <c r="B12" s="219">
        <v>9</v>
      </c>
      <c r="C12" s="220" t="s">
        <v>316</v>
      </c>
      <c r="D12" s="221">
        <v>90</v>
      </c>
      <c r="E12" s="221">
        <v>90</v>
      </c>
      <c r="F12" s="221">
        <v>35</v>
      </c>
      <c r="G12" s="597"/>
      <c r="H12" s="224" t="b">
        <f t="shared" ref="H12:H13" si="1">AND(D8&gt;=50,E8&gt;=50,F8&gt;=50)</f>
        <v>0</v>
      </c>
      <c r="I12" s="225" t="s">
        <v>311</v>
      </c>
      <c r="J12" s="225" t="str">
        <f t="shared" ref="J12:J13" si="2">IF(H12,"Excellent","Poor")</f>
        <v>Poor</v>
      </c>
      <c r="K12" s="225" t="str">
        <f t="shared" ref="K12:K13" si="3">IF(AND(D8&gt;=50,E8&gt;=50,F8&gt;=50),"Exellent","Poor")</f>
        <v>Poor</v>
      </c>
    </row>
    <row r="13" spans="2:11" ht="21" x14ac:dyDescent="0.3">
      <c r="B13" s="226">
        <v>10</v>
      </c>
      <c r="C13" s="226" t="s">
        <v>318</v>
      </c>
      <c r="D13" s="227">
        <v>100</v>
      </c>
      <c r="E13" s="227">
        <v>20</v>
      </c>
      <c r="F13" s="227">
        <v>90</v>
      </c>
      <c r="G13" s="598"/>
      <c r="H13" s="224" t="b">
        <f t="shared" si="1"/>
        <v>1</v>
      </c>
      <c r="I13" s="225" t="s">
        <v>313</v>
      </c>
      <c r="J13" s="225" t="str">
        <f t="shared" si="2"/>
        <v>Excellent</v>
      </c>
      <c r="K13" s="225" t="str">
        <f t="shared" si="3"/>
        <v>Exellent</v>
      </c>
    </row>
    <row r="14" spans="2:11" ht="21" x14ac:dyDescent="0.3">
      <c r="B14" s="228">
        <v>11</v>
      </c>
      <c r="C14" s="228" t="s">
        <v>319</v>
      </c>
      <c r="D14" s="229">
        <v>67</v>
      </c>
      <c r="E14" s="229">
        <v>30</v>
      </c>
      <c r="F14" s="229">
        <v>25</v>
      </c>
      <c r="G14" s="210"/>
      <c r="H14" s="230"/>
      <c r="I14" s="223"/>
      <c r="J14" s="223"/>
      <c r="K14" s="223"/>
    </row>
    <row r="15" spans="2:11" ht="21" x14ac:dyDescent="0.3">
      <c r="B15" s="226">
        <v>12</v>
      </c>
      <c r="C15" s="226" t="s">
        <v>320</v>
      </c>
      <c r="D15" s="227">
        <v>80</v>
      </c>
      <c r="E15" s="227">
        <v>50</v>
      </c>
      <c r="F15" s="227">
        <v>85</v>
      </c>
      <c r="G15" s="596" t="s">
        <v>362</v>
      </c>
      <c r="H15" s="231" t="b">
        <f>_xlfn.XOR(D10&gt;=50,E10&gt;=50,F10&gt;=50)</f>
        <v>0</v>
      </c>
      <c r="I15" s="232" t="s">
        <v>314</v>
      </c>
      <c r="J15" s="232" t="str">
        <f>IF(H15,"Good","Bad")</f>
        <v>Bad</v>
      </c>
      <c r="K15" s="232" t="str">
        <f>IF(_xlfn.XOR(C10&gt;=50,D10&gt;=50,E10&gt;=50),"Good","Bad")</f>
        <v>Bad</v>
      </c>
    </row>
    <row r="16" spans="2:11" ht="21" x14ac:dyDescent="0.3">
      <c r="B16" s="226">
        <v>13</v>
      </c>
      <c r="C16" s="226" t="s">
        <v>237</v>
      </c>
      <c r="D16" s="227">
        <v>90</v>
      </c>
      <c r="E16" s="227">
        <v>100</v>
      </c>
      <c r="F16" s="227">
        <v>50</v>
      </c>
      <c r="G16" s="597"/>
      <c r="H16" s="231" t="b">
        <f t="shared" ref="H16:H17" si="4">_xlfn.XOR(D11&gt;=50,E11&gt;=50,F11&gt;=50)</f>
        <v>1</v>
      </c>
      <c r="I16" s="232" t="s">
        <v>315</v>
      </c>
      <c r="J16" s="232" t="str">
        <f t="shared" ref="J16:J17" si="5">IF(H16,"Good","Bad")</f>
        <v>Good</v>
      </c>
      <c r="K16" s="232" t="str">
        <f>IF(_xlfn.XOR(D11&gt;=50,E11&gt;=50,F11&gt;=50),"Good","Bad")</f>
        <v>Good</v>
      </c>
    </row>
    <row r="17" spans="2:11" ht="21" x14ac:dyDescent="0.3">
      <c r="B17" s="226">
        <v>14</v>
      </c>
      <c r="C17" s="226" t="s">
        <v>321</v>
      </c>
      <c r="D17" s="227">
        <v>40</v>
      </c>
      <c r="E17" s="227">
        <v>70</v>
      </c>
      <c r="F17" s="227">
        <v>60</v>
      </c>
      <c r="G17" s="598"/>
      <c r="H17" s="231" t="b">
        <f t="shared" si="4"/>
        <v>0</v>
      </c>
      <c r="I17" s="232" t="s">
        <v>316</v>
      </c>
      <c r="J17" s="232" t="str">
        <f t="shared" si="5"/>
        <v>Bad</v>
      </c>
      <c r="K17" s="232" t="str">
        <f>IF(_xlfn.XOR(D12&gt;=50,E12&gt;=50,F12&gt;=50),"Good","Bad")</f>
        <v>Bad</v>
      </c>
    </row>
    <row r="18" spans="2:11" ht="21" x14ac:dyDescent="0.3">
      <c r="B18" s="210"/>
      <c r="C18" s="210"/>
      <c r="D18" s="210"/>
      <c r="E18" s="210"/>
      <c r="F18" s="210"/>
      <c r="G18" s="210"/>
      <c r="H18" s="222" t="s">
        <v>363</v>
      </c>
      <c r="I18" s="210"/>
      <c r="J18" s="233"/>
      <c r="K18" s="210"/>
    </row>
    <row r="20" spans="2:11" ht="51.6" x14ac:dyDescent="0.3">
      <c r="B20" s="599" t="s">
        <v>364</v>
      </c>
      <c r="C20" s="234" t="b">
        <f>ISBLANK(G10)</f>
        <v>1</v>
      </c>
      <c r="D20" s="599" t="s">
        <v>365</v>
      </c>
      <c r="E20" s="234" t="b">
        <f>IFERROR(H7, 0)</f>
        <v>1</v>
      </c>
      <c r="G20" s="210"/>
      <c r="H20" s="269" t="s">
        <v>369</v>
      </c>
      <c r="I20" s="269" t="s">
        <v>142</v>
      </c>
      <c r="J20" s="269" t="s">
        <v>370</v>
      </c>
      <c r="K20" s="269" t="s">
        <v>304</v>
      </c>
    </row>
    <row r="21" spans="2:11" ht="85.2" customHeight="1" x14ac:dyDescent="0.3">
      <c r="B21" s="600"/>
      <c r="C21" s="234" t="b">
        <f>ISBLANK(G11)</f>
        <v>0</v>
      </c>
      <c r="D21" s="600"/>
      <c r="E21" s="234" t="b">
        <f>IFERROR(H8, 0)</f>
        <v>1</v>
      </c>
      <c r="G21" s="238" t="s">
        <v>371</v>
      </c>
      <c r="H21" s="270" t="s">
        <v>372</v>
      </c>
      <c r="I21" s="271">
        <v>3000</v>
      </c>
      <c r="J21" s="271">
        <v>2000</v>
      </c>
      <c r="K21" s="271" t="str">
        <f>IF(_xlfn.XOR(I21&gt;1000, J21&gt;1000), "BONUS", "NO BONUS")</f>
        <v>NO BONUS</v>
      </c>
    </row>
    <row r="22" spans="2:11" ht="31.2" x14ac:dyDescent="0.3">
      <c r="B22" s="599" t="s">
        <v>366</v>
      </c>
      <c r="C22" s="234" t="b">
        <f>ISERROR(G10)</f>
        <v>0</v>
      </c>
      <c r="D22" s="599" t="s">
        <v>367</v>
      </c>
      <c r="E22" s="234" t="b">
        <f>_xlfn.IFNA(H11, 0)</f>
        <v>0</v>
      </c>
      <c r="G22" s="210"/>
      <c r="H22" s="210"/>
      <c r="I22" s="594" t="s">
        <v>373</v>
      </c>
      <c r="J22" s="594"/>
      <c r="K22" s="594"/>
    </row>
    <row r="23" spans="2:11" ht="31.2" x14ac:dyDescent="0.3">
      <c r="B23" s="600"/>
      <c r="C23" s="234" t="b">
        <f>ISERROR(G11)</f>
        <v>0</v>
      </c>
      <c r="D23" s="600"/>
      <c r="E23" s="234" t="b">
        <f>_xlfn.IFNA(H12, 0)</f>
        <v>0</v>
      </c>
    </row>
    <row r="24" spans="2:11" ht="57.6" x14ac:dyDescent="0.3">
      <c r="B24" s="235" t="s">
        <v>368</v>
      </c>
      <c r="C24" s="236">
        <f>IFERROR(G6, 1)</f>
        <v>0</v>
      </c>
      <c r="D24" s="210"/>
      <c r="E24" s="210"/>
    </row>
    <row r="25" spans="2:11" ht="25.2" x14ac:dyDescent="0.3">
      <c r="B25" s="237"/>
      <c r="C25" s="237"/>
      <c r="D25" s="210"/>
      <c r="E25" s="210"/>
    </row>
    <row r="26" spans="2:11" ht="25.2" x14ac:dyDescent="0.3">
      <c r="B26" s="237"/>
      <c r="C26" s="237"/>
      <c r="D26" s="210"/>
      <c r="E26" s="210"/>
    </row>
  </sheetData>
  <mergeCells count="8">
    <mergeCell ref="I22:K22"/>
    <mergeCell ref="G7:G9"/>
    <mergeCell ref="G11:G13"/>
    <mergeCell ref="G15:G17"/>
    <mergeCell ref="B20:B21"/>
    <mergeCell ref="D20:D21"/>
    <mergeCell ref="B22:B23"/>
    <mergeCell ref="D22:D23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FCFD-D8C4-4D71-BFF8-17FB37E56976}">
  <dimension ref="B4:P18"/>
  <sheetViews>
    <sheetView workbookViewId="0">
      <selection activeCell="F11" sqref="F11:I17"/>
    </sheetView>
  </sheetViews>
  <sheetFormatPr defaultRowHeight="14.4" x14ac:dyDescent="0.3"/>
  <cols>
    <col min="2" max="2" width="19.21875" bestFit="1" customWidth="1"/>
    <col min="3" max="3" width="21.109375" customWidth="1"/>
    <col min="4" max="4" width="13.6640625" customWidth="1"/>
    <col min="5" max="6" width="12.77734375" bestFit="1" customWidth="1"/>
    <col min="7" max="7" width="13.44140625" bestFit="1" customWidth="1"/>
    <col min="8" max="8" width="16.33203125" bestFit="1" customWidth="1"/>
    <col min="9" max="10" width="13.21875" bestFit="1" customWidth="1"/>
    <col min="11" max="11" width="16.109375" bestFit="1" customWidth="1"/>
    <col min="12" max="12" width="13.77734375" bestFit="1" customWidth="1"/>
    <col min="13" max="13" width="13.21875" bestFit="1" customWidth="1"/>
    <col min="14" max="14" width="13.5546875" bestFit="1" customWidth="1"/>
    <col min="15" max="15" width="19.21875" bestFit="1" customWidth="1"/>
    <col min="16" max="16" width="13.21875" bestFit="1" customWidth="1"/>
  </cols>
  <sheetData>
    <row r="4" spans="2:16" ht="19.8" x14ac:dyDescent="0.3">
      <c r="B4" s="273" t="s">
        <v>396</v>
      </c>
      <c r="C4" s="274" t="s">
        <v>128</v>
      </c>
      <c r="D4" s="275" t="s">
        <v>128</v>
      </c>
      <c r="E4" s="274" t="s">
        <v>128</v>
      </c>
      <c r="F4" s="274" t="s">
        <v>132</v>
      </c>
      <c r="G4" s="274" t="s">
        <v>128</v>
      </c>
      <c r="H4" s="274" t="s">
        <v>134</v>
      </c>
      <c r="I4" s="274" t="s">
        <v>134</v>
      </c>
      <c r="J4" s="275" t="s">
        <v>134</v>
      </c>
      <c r="K4" s="275" t="s">
        <v>126</v>
      </c>
      <c r="L4" s="274" t="s">
        <v>134</v>
      </c>
      <c r="M4" s="274" t="s">
        <v>132</v>
      </c>
      <c r="N4" s="274" t="s">
        <v>126</v>
      </c>
      <c r="O4" s="274" t="s">
        <v>128</v>
      </c>
      <c r="P4" s="274" t="s">
        <v>132</v>
      </c>
    </row>
    <row r="5" spans="2:16" ht="19.8" x14ac:dyDescent="0.3">
      <c r="B5" s="273" t="s">
        <v>121</v>
      </c>
      <c r="C5" s="275" t="s">
        <v>139</v>
      </c>
      <c r="D5" s="275" t="s">
        <v>397</v>
      </c>
      <c r="E5" s="275" t="s">
        <v>72</v>
      </c>
      <c r="F5" s="275" t="s">
        <v>72</v>
      </c>
      <c r="G5" s="275" t="s">
        <v>398</v>
      </c>
      <c r="H5" s="275" t="s">
        <v>399</v>
      </c>
      <c r="I5" s="275" t="s">
        <v>407</v>
      </c>
      <c r="J5" s="275" t="s">
        <v>400</v>
      </c>
      <c r="K5" s="275" t="s">
        <v>401</v>
      </c>
      <c r="L5" s="275" t="s">
        <v>402</v>
      </c>
      <c r="M5" s="275" t="s">
        <v>136</v>
      </c>
      <c r="N5" s="275" t="s">
        <v>136</v>
      </c>
      <c r="O5" s="275" t="s">
        <v>139</v>
      </c>
      <c r="P5" s="275" t="s">
        <v>397</v>
      </c>
    </row>
    <row r="6" spans="2:16" ht="19.8" x14ac:dyDescent="0.3">
      <c r="B6" s="273" t="s">
        <v>403</v>
      </c>
      <c r="C6" s="276">
        <v>3000</v>
      </c>
      <c r="D6" s="276">
        <v>4000</v>
      </c>
      <c r="E6" s="276">
        <v>6000</v>
      </c>
      <c r="F6" s="276">
        <v>8000</v>
      </c>
      <c r="G6" s="276">
        <v>10000</v>
      </c>
      <c r="H6" s="276">
        <v>14000</v>
      </c>
      <c r="I6" s="276">
        <v>16000</v>
      </c>
      <c r="J6" s="276">
        <v>18000</v>
      </c>
      <c r="K6" s="276">
        <v>20000</v>
      </c>
      <c r="L6" s="276">
        <v>25000</v>
      </c>
      <c r="M6" s="276">
        <v>10000</v>
      </c>
      <c r="N6" s="276">
        <v>30000</v>
      </c>
      <c r="O6" s="276">
        <v>25000</v>
      </c>
      <c r="P6" s="276">
        <v>7000</v>
      </c>
    </row>
    <row r="7" spans="2:16" ht="19.8" x14ac:dyDescent="0.3">
      <c r="B7" s="273" t="s">
        <v>243</v>
      </c>
      <c r="C7" s="274">
        <v>45665</v>
      </c>
      <c r="D7" s="274">
        <v>45663</v>
      </c>
      <c r="E7" s="274">
        <v>45674</v>
      </c>
      <c r="F7" s="274">
        <v>45667</v>
      </c>
      <c r="G7" s="274">
        <v>45666</v>
      </c>
      <c r="H7" s="274">
        <v>45658</v>
      </c>
      <c r="I7" s="274">
        <v>45660</v>
      </c>
      <c r="J7" s="274">
        <v>45676</v>
      </c>
      <c r="K7" s="274">
        <v>45677</v>
      </c>
      <c r="L7" s="274">
        <v>45667</v>
      </c>
      <c r="M7" s="274">
        <v>45677</v>
      </c>
      <c r="N7" s="274">
        <v>45675</v>
      </c>
      <c r="O7" s="274">
        <v>45672</v>
      </c>
      <c r="P7" s="274">
        <v>45680</v>
      </c>
    </row>
    <row r="10" spans="2:16" ht="19.8" x14ac:dyDescent="0.3">
      <c r="B10" s="277" t="s">
        <v>404</v>
      </c>
      <c r="C10" s="277" t="s">
        <v>403</v>
      </c>
      <c r="D10" s="277" t="s">
        <v>243</v>
      </c>
      <c r="E10" s="319" t="s">
        <v>396</v>
      </c>
    </row>
    <row r="11" spans="2:16" ht="18.600000000000001" x14ac:dyDescent="0.3">
      <c r="B11" s="278" t="s">
        <v>397</v>
      </c>
      <c r="C11" s="279">
        <f>HLOOKUP(B11,C5:P7,2,FALSE)</f>
        <v>4000</v>
      </c>
      <c r="D11" s="280">
        <f>HLOOKUP(B11,$C$5:$P$7,3,FALSE)</f>
        <v>45663</v>
      </c>
      <c r="F11" s="601" t="s">
        <v>408</v>
      </c>
      <c r="G11" s="544"/>
      <c r="H11" s="544"/>
      <c r="I11" s="544"/>
    </row>
    <row r="12" spans="2:16" ht="18.600000000000001" x14ac:dyDescent="0.3">
      <c r="B12" s="278" t="s">
        <v>398</v>
      </c>
      <c r="C12" s="279">
        <f>HLOOKUP(B12,C5:P7,2,TRUE)</f>
        <v>7000</v>
      </c>
      <c r="D12" s="280">
        <f t="shared" ref="D12:D18" si="0">HLOOKUP(B12,$C$5:$P$7,3,FALSE)</f>
        <v>45666</v>
      </c>
      <c r="F12" s="544"/>
      <c r="G12" s="544"/>
      <c r="H12" s="544"/>
      <c r="I12" s="544"/>
    </row>
    <row r="13" spans="2:16" ht="18.600000000000001" x14ac:dyDescent="0.3">
      <c r="B13" s="278" t="s">
        <v>400</v>
      </c>
      <c r="C13" s="279">
        <f>HLOOKUP(B13,C5:P7,2,FALSE)</f>
        <v>18000</v>
      </c>
      <c r="D13" s="280">
        <f t="shared" si="0"/>
        <v>45676</v>
      </c>
      <c r="F13" s="544"/>
      <c r="G13" s="544"/>
      <c r="H13" s="544"/>
      <c r="I13" s="544"/>
    </row>
    <row r="14" spans="2:16" ht="18.600000000000001" x14ac:dyDescent="0.3">
      <c r="B14" s="278" t="s">
        <v>399</v>
      </c>
      <c r="C14" s="279">
        <f>HLOOKUP(B14,C5:P7,2,FALSE)</f>
        <v>14000</v>
      </c>
      <c r="D14" s="280">
        <f t="shared" si="0"/>
        <v>45658</v>
      </c>
      <c r="F14" s="544"/>
      <c r="G14" s="544"/>
      <c r="H14" s="544"/>
      <c r="I14" s="544"/>
    </row>
    <row r="15" spans="2:16" ht="18.600000000000001" x14ac:dyDescent="0.3">
      <c r="B15" s="281" t="s">
        <v>401</v>
      </c>
      <c r="C15" s="279">
        <f>HLOOKUP(B15,$B$5:$P$7,2,FALSE)</f>
        <v>20000</v>
      </c>
      <c r="D15" s="280">
        <f t="shared" si="0"/>
        <v>45677</v>
      </c>
      <c r="F15" s="544"/>
      <c r="G15" s="544"/>
      <c r="H15" s="544"/>
      <c r="I15" s="544"/>
    </row>
    <row r="16" spans="2:16" ht="18.600000000000001" x14ac:dyDescent="0.3">
      <c r="B16" s="281" t="s">
        <v>402</v>
      </c>
      <c r="C16" s="279">
        <f t="shared" ref="C16:C18" si="1">HLOOKUP(B16,$B$5:$P$7,2,FALSE)</f>
        <v>25000</v>
      </c>
      <c r="D16" s="280">
        <f t="shared" si="0"/>
        <v>45667</v>
      </c>
      <c r="F16" s="544"/>
      <c r="G16" s="544"/>
      <c r="H16" s="544"/>
      <c r="I16" s="544"/>
    </row>
    <row r="17" spans="2:9" ht="18.600000000000001" x14ac:dyDescent="0.3">
      <c r="B17" s="281" t="s">
        <v>72</v>
      </c>
      <c r="C17" s="279">
        <f t="shared" si="1"/>
        <v>6000</v>
      </c>
      <c r="D17" s="280">
        <f t="shared" si="0"/>
        <v>45674</v>
      </c>
      <c r="F17" s="544"/>
      <c r="G17" s="544"/>
      <c r="H17" s="544"/>
      <c r="I17" s="544"/>
    </row>
    <row r="18" spans="2:9" ht="18.600000000000001" x14ac:dyDescent="0.3">
      <c r="B18" s="281" t="s">
        <v>139</v>
      </c>
      <c r="C18" s="279">
        <f t="shared" si="1"/>
        <v>3000</v>
      </c>
      <c r="D18" s="280">
        <f t="shared" si="0"/>
        <v>45665</v>
      </c>
    </row>
  </sheetData>
  <mergeCells count="1">
    <mergeCell ref="F11:I1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57733-CD05-4DDA-9A48-0E3F5504E9F4}">
  <dimension ref="A2:O24"/>
  <sheetViews>
    <sheetView topLeftCell="A7" workbookViewId="0">
      <selection activeCell="H6" sqref="H6"/>
    </sheetView>
  </sheetViews>
  <sheetFormatPr defaultRowHeight="14.4" x14ac:dyDescent="0.3"/>
  <cols>
    <col min="2" max="2" width="20.33203125" bestFit="1" customWidth="1"/>
    <col min="3" max="3" width="13.77734375" bestFit="1" customWidth="1"/>
    <col min="4" max="4" width="13.33203125" bestFit="1" customWidth="1"/>
    <col min="5" max="5" width="9.44140625" bestFit="1" customWidth="1"/>
    <col min="7" max="7" width="19" bestFit="1" customWidth="1"/>
    <col min="8" max="8" width="13.33203125" bestFit="1" customWidth="1"/>
    <col min="9" max="9" width="16.109375" bestFit="1" customWidth="1"/>
    <col min="10" max="10" width="14.109375" bestFit="1" customWidth="1"/>
    <col min="11" max="12" width="19.21875" bestFit="1" customWidth="1"/>
    <col min="13" max="13" width="16.109375" bestFit="1" customWidth="1"/>
    <col min="14" max="14" width="13.33203125" bestFit="1" customWidth="1"/>
    <col min="15" max="15" width="22.77734375" bestFit="1" customWidth="1"/>
  </cols>
  <sheetData>
    <row r="2" spans="1:15" ht="18" x14ac:dyDescent="0.3">
      <c r="A2" s="291"/>
      <c r="B2" s="282" t="s">
        <v>121</v>
      </c>
      <c r="C2" s="282" t="s">
        <v>403</v>
      </c>
      <c r="D2" s="282" t="s">
        <v>243</v>
      </c>
      <c r="E2" s="282" t="s">
        <v>396</v>
      </c>
    </row>
    <row r="3" spans="1:15" ht="18" x14ac:dyDescent="0.3">
      <c r="A3" s="288"/>
      <c r="B3" s="285" t="s">
        <v>139</v>
      </c>
      <c r="C3" s="292">
        <v>2025</v>
      </c>
      <c r="D3" s="283">
        <v>45359</v>
      </c>
      <c r="E3" s="283" t="s">
        <v>128</v>
      </c>
      <c r="G3" s="298" t="s">
        <v>404</v>
      </c>
      <c r="H3" s="299" t="s">
        <v>397</v>
      </c>
      <c r="I3" s="299" t="s">
        <v>398</v>
      </c>
      <c r="J3" s="299" t="s">
        <v>400</v>
      </c>
      <c r="K3" s="300" t="s">
        <v>399</v>
      </c>
      <c r="L3" s="301" t="s">
        <v>401</v>
      </c>
      <c r="M3" s="301" t="s">
        <v>402</v>
      </c>
      <c r="N3" s="301" t="s">
        <v>72</v>
      </c>
      <c r="O3" s="301" t="s">
        <v>139</v>
      </c>
    </row>
    <row r="4" spans="1:15" ht="18" x14ac:dyDescent="0.3">
      <c r="A4" s="288"/>
      <c r="B4" s="285" t="s">
        <v>397</v>
      </c>
      <c r="C4" s="292">
        <v>4000</v>
      </c>
      <c r="D4" s="283">
        <v>45456</v>
      </c>
      <c r="E4" s="283" t="s">
        <v>128</v>
      </c>
      <c r="G4" s="298" t="s">
        <v>403</v>
      </c>
      <c r="H4" s="302">
        <f>VLOOKUP(H3,$B$2:$E$24,2,FALSE)</f>
        <v>4000</v>
      </c>
      <c r="I4" s="302">
        <f t="shared" ref="I4:O4" si="0">VLOOKUP(I3,$B$2:$E$24,2,FALSE)</f>
        <v>10000</v>
      </c>
      <c r="J4" s="302">
        <f t="shared" si="0"/>
        <v>16000</v>
      </c>
      <c r="K4" s="302">
        <f t="shared" si="0"/>
        <v>14000</v>
      </c>
      <c r="L4" s="302">
        <f t="shared" si="0"/>
        <v>20000</v>
      </c>
      <c r="M4" s="302">
        <f t="shared" si="0"/>
        <v>25000</v>
      </c>
      <c r="N4" s="302">
        <f t="shared" si="0"/>
        <v>6000</v>
      </c>
      <c r="O4" s="302">
        <f t="shared" si="0"/>
        <v>2025</v>
      </c>
    </row>
    <row r="5" spans="1:15" ht="18" x14ac:dyDescent="0.3">
      <c r="A5" s="288"/>
      <c r="B5" s="285" t="s">
        <v>72</v>
      </c>
      <c r="C5" s="292">
        <v>6000</v>
      </c>
      <c r="D5" s="283">
        <v>45524</v>
      </c>
      <c r="E5" s="283" t="s">
        <v>128</v>
      </c>
      <c r="G5" s="298" t="s">
        <v>243</v>
      </c>
      <c r="H5" s="303">
        <f>VLOOKUP(H3,$B$2:$E$24,3,FALSE)</f>
        <v>45456</v>
      </c>
      <c r="I5" s="303">
        <f t="shared" ref="I5:O5" si="1">VLOOKUP(I3,$B$2:$E$24,3,FALSE)</f>
        <v>45660</v>
      </c>
      <c r="J5" s="303">
        <f t="shared" si="1"/>
        <v>45664</v>
      </c>
      <c r="K5" s="303">
        <f t="shared" si="1"/>
        <v>45663</v>
      </c>
      <c r="L5" s="303">
        <f t="shared" si="1"/>
        <v>45667</v>
      </c>
      <c r="M5" s="303">
        <f t="shared" si="1"/>
        <v>45668</v>
      </c>
      <c r="N5" s="303">
        <f t="shared" si="1"/>
        <v>45524</v>
      </c>
      <c r="O5" s="303">
        <f t="shared" si="1"/>
        <v>45359</v>
      </c>
    </row>
    <row r="6" spans="1:15" ht="18" x14ac:dyDescent="0.3">
      <c r="A6" s="289"/>
      <c r="B6" s="293" t="s">
        <v>397</v>
      </c>
      <c r="C6" s="294">
        <v>7000</v>
      </c>
      <c r="D6" s="283">
        <v>45557</v>
      </c>
      <c r="E6" s="284" t="s">
        <v>132</v>
      </c>
      <c r="G6" s="304" t="s">
        <v>396</v>
      </c>
      <c r="H6" s="303" t="str">
        <f>VLOOKUP(H3,$B$2:$E$24,4,FALSE)</f>
        <v>East</v>
      </c>
      <c r="I6" s="303" t="str">
        <f t="shared" ref="I6:O6" si="2">VLOOKUP(I3,$B$2:$E$24,4,FALSE)</f>
        <v>East</v>
      </c>
      <c r="J6" s="303" t="str">
        <f t="shared" si="2"/>
        <v>North</v>
      </c>
      <c r="K6" s="303" t="str">
        <f t="shared" si="2"/>
        <v>North</v>
      </c>
      <c r="L6" s="303" t="str">
        <f t="shared" si="2"/>
        <v>North</v>
      </c>
      <c r="M6" s="303" t="str">
        <f t="shared" si="2"/>
        <v>North</v>
      </c>
      <c r="N6" s="303" t="str">
        <f t="shared" si="2"/>
        <v>East</v>
      </c>
      <c r="O6" s="303" t="str">
        <f t="shared" si="2"/>
        <v>East</v>
      </c>
    </row>
    <row r="7" spans="1:15" ht="18" x14ac:dyDescent="0.3">
      <c r="A7" s="288"/>
      <c r="B7" s="285" t="s">
        <v>72</v>
      </c>
      <c r="C7" s="292">
        <v>8000</v>
      </c>
      <c r="D7" s="283">
        <v>45658</v>
      </c>
      <c r="E7" s="283" t="s">
        <v>128</v>
      </c>
    </row>
    <row r="8" spans="1:15" ht="18" x14ac:dyDescent="0.3">
      <c r="A8" s="288"/>
      <c r="B8" s="285" t="s">
        <v>398</v>
      </c>
      <c r="C8" s="292">
        <v>10000</v>
      </c>
      <c r="D8" s="283">
        <v>45660</v>
      </c>
      <c r="E8" s="283" t="s">
        <v>128</v>
      </c>
    </row>
    <row r="9" spans="1:15" ht="18" x14ac:dyDescent="0.3">
      <c r="A9" s="289"/>
      <c r="B9" s="293" t="s">
        <v>136</v>
      </c>
      <c r="C9" s="294">
        <v>10000</v>
      </c>
      <c r="D9" s="283">
        <v>45661</v>
      </c>
      <c r="E9" s="284" t="s">
        <v>132</v>
      </c>
    </row>
    <row r="10" spans="1:15" ht="18" x14ac:dyDescent="0.3">
      <c r="A10" s="288"/>
      <c r="B10" s="285" t="s">
        <v>399</v>
      </c>
      <c r="C10" s="292">
        <v>14000</v>
      </c>
      <c r="D10" s="283">
        <v>45663</v>
      </c>
      <c r="E10" s="283" t="s">
        <v>134</v>
      </c>
    </row>
    <row r="11" spans="1:15" ht="18" x14ac:dyDescent="0.3">
      <c r="A11" s="288"/>
      <c r="B11" s="285" t="s">
        <v>400</v>
      </c>
      <c r="C11" s="292">
        <v>16000</v>
      </c>
      <c r="D11" s="283">
        <v>45664</v>
      </c>
      <c r="E11" s="283" t="s">
        <v>134</v>
      </c>
    </row>
    <row r="12" spans="1:15" ht="18" x14ac:dyDescent="0.3">
      <c r="A12" s="290"/>
      <c r="B12" s="285" t="s">
        <v>400</v>
      </c>
      <c r="C12" s="292">
        <v>18000</v>
      </c>
      <c r="D12" s="283">
        <v>45667</v>
      </c>
      <c r="E12" s="285" t="s">
        <v>126</v>
      </c>
    </row>
    <row r="13" spans="1:15" ht="18" x14ac:dyDescent="0.3">
      <c r="A13" s="290"/>
      <c r="B13" s="285" t="s">
        <v>401</v>
      </c>
      <c r="C13" s="292">
        <v>20000</v>
      </c>
      <c r="D13" s="283">
        <v>45667</v>
      </c>
      <c r="E13" s="285" t="s">
        <v>134</v>
      </c>
    </row>
    <row r="14" spans="1:15" ht="18" x14ac:dyDescent="0.3">
      <c r="A14" s="288"/>
      <c r="B14" s="285" t="s">
        <v>402</v>
      </c>
      <c r="C14" s="292">
        <v>25000</v>
      </c>
      <c r="D14" s="283">
        <v>45668</v>
      </c>
      <c r="E14" s="283" t="s">
        <v>134</v>
      </c>
    </row>
    <row r="15" spans="1:15" ht="18" x14ac:dyDescent="0.3">
      <c r="A15" s="289"/>
      <c r="B15" s="293" t="s">
        <v>139</v>
      </c>
      <c r="C15" s="294">
        <v>25000</v>
      </c>
      <c r="D15" s="283">
        <v>45669</v>
      </c>
      <c r="E15" s="284" t="s">
        <v>128</v>
      </c>
    </row>
    <row r="16" spans="1:15" ht="18" x14ac:dyDescent="0.3">
      <c r="A16" s="288"/>
      <c r="B16" s="285" t="s">
        <v>139</v>
      </c>
      <c r="C16" s="292">
        <v>28000</v>
      </c>
      <c r="D16" s="283">
        <v>45670</v>
      </c>
      <c r="E16" s="283" t="s">
        <v>126</v>
      </c>
    </row>
    <row r="17" spans="1:5" ht="18" x14ac:dyDescent="0.3">
      <c r="A17" s="288"/>
      <c r="B17" s="285" t="s">
        <v>405</v>
      </c>
      <c r="C17" s="292">
        <v>30000</v>
      </c>
      <c r="D17" s="283">
        <v>45670</v>
      </c>
      <c r="E17" s="283" t="s">
        <v>126</v>
      </c>
    </row>
    <row r="18" spans="1:5" ht="18" x14ac:dyDescent="0.3">
      <c r="A18" s="288"/>
      <c r="B18" s="285" t="s">
        <v>406</v>
      </c>
      <c r="C18" s="292">
        <v>30000</v>
      </c>
      <c r="D18" s="284">
        <v>45672</v>
      </c>
      <c r="E18" s="283" t="s">
        <v>126</v>
      </c>
    </row>
    <row r="19" spans="1:5" ht="18" x14ac:dyDescent="0.3">
      <c r="A19" s="289"/>
      <c r="B19" s="295" t="s">
        <v>136</v>
      </c>
      <c r="C19" s="294">
        <v>30000</v>
      </c>
      <c r="D19" s="296">
        <v>45672</v>
      </c>
      <c r="E19" s="286" t="s">
        <v>126</v>
      </c>
    </row>
    <row r="20" spans="1:5" ht="18" x14ac:dyDescent="0.3">
      <c r="A20" s="288"/>
      <c r="B20" s="297" t="s">
        <v>399</v>
      </c>
      <c r="C20" s="292">
        <v>36000</v>
      </c>
      <c r="D20" s="287">
        <v>45674</v>
      </c>
      <c r="E20" s="287" t="s">
        <v>132</v>
      </c>
    </row>
    <row r="21" spans="1:5" ht="18" x14ac:dyDescent="0.3">
      <c r="A21" s="288"/>
      <c r="B21" s="285" t="s">
        <v>405</v>
      </c>
      <c r="C21" s="292">
        <v>38000</v>
      </c>
      <c r="D21" s="284">
        <v>45675</v>
      </c>
      <c r="E21" s="283" t="s">
        <v>132</v>
      </c>
    </row>
    <row r="22" spans="1:5" ht="18" x14ac:dyDescent="0.3">
      <c r="A22" s="290"/>
      <c r="B22" s="285" t="s">
        <v>72</v>
      </c>
      <c r="C22" s="292">
        <v>40000</v>
      </c>
      <c r="D22" s="283">
        <v>45676</v>
      </c>
      <c r="E22" s="285" t="s">
        <v>132</v>
      </c>
    </row>
    <row r="23" spans="1:5" ht="18" x14ac:dyDescent="0.3">
      <c r="A23" s="288"/>
      <c r="B23" s="285" t="s">
        <v>401</v>
      </c>
      <c r="C23" s="292">
        <v>42000</v>
      </c>
      <c r="D23" s="284">
        <v>45677</v>
      </c>
      <c r="E23" s="283" t="s">
        <v>132</v>
      </c>
    </row>
    <row r="24" spans="1:5" ht="18" x14ac:dyDescent="0.3">
      <c r="A24" s="288"/>
      <c r="B24" s="285" t="s">
        <v>399</v>
      </c>
      <c r="C24" s="292">
        <v>50000</v>
      </c>
      <c r="D24" s="284">
        <v>45680</v>
      </c>
      <c r="E24" s="283" t="s">
        <v>132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237C-38B5-419B-BE49-8AB899829F29}">
  <dimension ref="B1:Z63"/>
  <sheetViews>
    <sheetView topLeftCell="I44" workbookViewId="0">
      <selection activeCell="J39" sqref="J39"/>
    </sheetView>
  </sheetViews>
  <sheetFormatPr defaultRowHeight="14.4" x14ac:dyDescent="0.3"/>
  <cols>
    <col min="2" max="2" width="20.88671875" customWidth="1"/>
    <col min="3" max="3" width="17.5546875" customWidth="1"/>
    <col min="4" max="4" width="26.109375" customWidth="1"/>
    <col min="5" max="5" width="17.6640625" customWidth="1"/>
    <col min="6" max="6" width="31.44140625" customWidth="1"/>
    <col min="7" max="7" width="18.5546875" customWidth="1"/>
    <col min="8" max="8" width="37.5546875" customWidth="1"/>
    <col min="9" max="9" width="24.88671875" customWidth="1"/>
    <col min="10" max="10" width="30.88671875" customWidth="1"/>
    <col min="11" max="11" width="23.21875" customWidth="1"/>
    <col min="12" max="12" width="26.77734375" customWidth="1"/>
    <col min="13" max="13" width="21" customWidth="1"/>
    <col min="14" max="14" width="50.33203125" customWidth="1"/>
    <col min="15" max="15" width="15.5546875" customWidth="1"/>
    <col min="16" max="16" width="15.88671875" customWidth="1"/>
    <col min="17" max="17" width="17.33203125" customWidth="1"/>
    <col min="18" max="18" width="17" customWidth="1"/>
    <col min="19" max="19" width="16" customWidth="1"/>
    <col min="20" max="20" width="15.44140625" customWidth="1"/>
    <col min="21" max="21" width="14.5546875" customWidth="1"/>
    <col min="22" max="22" width="16" customWidth="1"/>
    <col min="23" max="23" width="17.33203125" customWidth="1"/>
    <col min="24" max="24" width="13.6640625" customWidth="1"/>
    <col min="25" max="25" width="18.109375" customWidth="1"/>
    <col min="26" max="26" width="15.77734375" customWidth="1"/>
  </cols>
  <sheetData>
    <row r="1" spans="2:8" ht="25.8" customHeight="1" x14ac:dyDescent="0.3">
      <c r="F1" s="544" t="s">
        <v>429</v>
      </c>
      <c r="G1" s="544"/>
    </row>
    <row r="2" spans="2:8" x14ac:dyDescent="0.3">
      <c r="F2" s="544"/>
      <c r="G2" s="544"/>
    </row>
    <row r="3" spans="2:8" ht="18" x14ac:dyDescent="0.3">
      <c r="B3" s="367" t="s">
        <v>121</v>
      </c>
      <c r="C3" s="367" t="s">
        <v>403</v>
      </c>
    </row>
    <row r="4" spans="2:8" ht="18" x14ac:dyDescent="0.3">
      <c r="B4" s="368" t="s">
        <v>139</v>
      </c>
      <c r="C4" s="369">
        <v>2000</v>
      </c>
      <c r="F4" s="372" t="s">
        <v>404</v>
      </c>
      <c r="G4" s="373" t="s">
        <v>403</v>
      </c>
      <c r="H4" s="373" t="s">
        <v>428</v>
      </c>
    </row>
    <row r="5" spans="2:8" ht="18" x14ac:dyDescent="0.3">
      <c r="B5" s="368" t="s">
        <v>139</v>
      </c>
      <c r="C5" s="369">
        <v>20000</v>
      </c>
      <c r="F5" s="372" t="s">
        <v>401</v>
      </c>
      <c r="G5" s="374">
        <f>LOOKUP(F5,$B$3:$B$24,$C$3:$C$24)</f>
        <v>40000</v>
      </c>
      <c r="H5" s="374">
        <f>LOOKUP(F5,B3:C24)</f>
        <v>40000</v>
      </c>
    </row>
    <row r="6" spans="2:8" ht="18" x14ac:dyDescent="0.3">
      <c r="B6" s="368" t="s">
        <v>399</v>
      </c>
      <c r="C6" s="369">
        <v>14000</v>
      </c>
      <c r="F6" s="372" t="s">
        <v>397</v>
      </c>
      <c r="G6" s="374">
        <f>LOOKUP(F6,$B$3:$B$24,$C$3:$C$24)</f>
        <v>17000</v>
      </c>
      <c r="H6" s="374">
        <f>LOOKUP(F6,B4:C24)</f>
        <v>17000</v>
      </c>
    </row>
    <row r="7" spans="2:8" ht="18" x14ac:dyDescent="0.3">
      <c r="B7" s="370" t="s">
        <v>399</v>
      </c>
      <c r="C7" s="371">
        <v>25000</v>
      </c>
      <c r="F7" s="372" t="s">
        <v>399</v>
      </c>
      <c r="G7" s="374">
        <f t="shared" ref="G7:G10" si="0">LOOKUP(F7,$B$3:$B$24,$C$3:$C$24)</f>
        <v>25000</v>
      </c>
      <c r="H7" s="374">
        <f t="shared" ref="H7" si="1">LOOKUP(F7,B5:C26)</f>
        <v>25000</v>
      </c>
    </row>
    <row r="8" spans="2:8" ht="18" x14ac:dyDescent="0.3">
      <c r="B8" s="368" t="s">
        <v>400</v>
      </c>
      <c r="C8" s="369">
        <v>16000</v>
      </c>
      <c r="F8" s="372" t="s">
        <v>406</v>
      </c>
      <c r="G8" s="374">
        <f t="shared" si="0"/>
        <v>40000</v>
      </c>
      <c r="H8" s="374">
        <f t="shared" ref="H8" si="2">LOOKUP(F8,B6:C26)</f>
        <v>40000</v>
      </c>
    </row>
    <row r="9" spans="2:8" ht="18" x14ac:dyDescent="0.3">
      <c r="B9" s="368" t="s">
        <v>400</v>
      </c>
      <c r="C9" s="369">
        <v>4000</v>
      </c>
      <c r="F9" s="372" t="s">
        <v>405</v>
      </c>
      <c r="G9" s="374">
        <f t="shared" si="0"/>
        <v>50000</v>
      </c>
      <c r="H9" s="374">
        <f t="shared" ref="H9" si="3">LOOKUP(F9,B7:C28)</f>
        <v>50000</v>
      </c>
    </row>
    <row r="10" spans="2:8" ht="18" x14ac:dyDescent="0.3">
      <c r="B10" s="368" t="s">
        <v>405</v>
      </c>
      <c r="C10" s="369">
        <v>30000</v>
      </c>
      <c r="F10" s="372" t="s">
        <v>139</v>
      </c>
      <c r="G10" s="374">
        <f t="shared" si="0"/>
        <v>20000</v>
      </c>
      <c r="H10" s="374">
        <f>LOOKUP(F10,B3:C24)</f>
        <v>20000</v>
      </c>
    </row>
    <row r="11" spans="2:8" ht="18" x14ac:dyDescent="0.3">
      <c r="B11" s="368" t="s">
        <v>405</v>
      </c>
      <c r="C11" s="369">
        <v>50000</v>
      </c>
    </row>
    <row r="12" spans="2:8" ht="18" x14ac:dyDescent="0.3">
      <c r="B12" s="368" t="s">
        <v>397</v>
      </c>
      <c r="C12" s="369">
        <v>4000</v>
      </c>
    </row>
    <row r="13" spans="2:8" ht="18" x14ac:dyDescent="0.3">
      <c r="B13" s="368" t="s">
        <v>397</v>
      </c>
      <c r="C13" s="369">
        <v>17000</v>
      </c>
    </row>
    <row r="14" spans="2:8" ht="18" x14ac:dyDescent="0.3">
      <c r="B14" s="368" t="s">
        <v>406</v>
      </c>
      <c r="C14" s="369">
        <v>20000</v>
      </c>
    </row>
    <row r="15" spans="2:8" ht="18" x14ac:dyDescent="0.3">
      <c r="B15" s="370" t="s">
        <v>406</v>
      </c>
      <c r="C15" s="371">
        <v>40000</v>
      </c>
    </row>
    <row r="16" spans="2:8" ht="18" x14ac:dyDescent="0.3">
      <c r="B16" s="368" t="s">
        <v>72</v>
      </c>
      <c r="C16" s="369">
        <v>16000</v>
      </c>
    </row>
    <row r="17" spans="2:14" ht="18" x14ac:dyDescent="0.3">
      <c r="B17" s="370" t="s">
        <v>72</v>
      </c>
      <c r="C17" s="371">
        <v>20000</v>
      </c>
    </row>
    <row r="18" spans="2:14" ht="18" x14ac:dyDescent="0.3">
      <c r="B18" s="368" t="s">
        <v>136</v>
      </c>
      <c r="C18" s="369">
        <v>25000</v>
      </c>
    </row>
    <row r="19" spans="2:14" ht="18" x14ac:dyDescent="0.3">
      <c r="B19" s="370" t="s">
        <v>136</v>
      </c>
      <c r="C19" s="371">
        <v>30000</v>
      </c>
    </row>
    <row r="20" spans="2:14" ht="18" x14ac:dyDescent="0.3">
      <c r="B20" s="368" t="s">
        <v>401</v>
      </c>
      <c r="C20" s="369">
        <v>20000</v>
      </c>
    </row>
    <row r="21" spans="2:14" ht="18" x14ac:dyDescent="0.3">
      <c r="B21" s="370" t="s">
        <v>401</v>
      </c>
      <c r="C21" s="371">
        <v>40000</v>
      </c>
    </row>
    <row r="22" spans="2:14" ht="18" x14ac:dyDescent="0.3">
      <c r="B22" s="368" t="s">
        <v>398</v>
      </c>
      <c r="C22" s="369">
        <v>10000</v>
      </c>
    </row>
    <row r="23" spans="2:14" ht="18" x14ac:dyDescent="0.3">
      <c r="B23" s="370" t="s">
        <v>398</v>
      </c>
      <c r="C23" s="371">
        <v>35000</v>
      </c>
    </row>
    <row r="24" spans="2:14" ht="18" x14ac:dyDescent="0.3">
      <c r="B24" s="368" t="s">
        <v>402</v>
      </c>
      <c r="C24" s="369">
        <v>25000</v>
      </c>
    </row>
    <row r="30" spans="2:14" ht="36" x14ac:dyDescent="0.3">
      <c r="D30" s="375" t="s">
        <v>121</v>
      </c>
      <c r="E30" s="375" t="s">
        <v>243</v>
      </c>
      <c r="F30" s="375" t="s">
        <v>396</v>
      </c>
      <c r="G30" s="375" t="s">
        <v>403</v>
      </c>
      <c r="I30" s="372" t="s">
        <v>404</v>
      </c>
      <c r="J30" s="380" t="s">
        <v>430</v>
      </c>
      <c r="K30" s="380" t="s">
        <v>431</v>
      </c>
      <c r="L30" s="380" t="s">
        <v>432</v>
      </c>
      <c r="M30" s="380" t="s">
        <v>433</v>
      </c>
      <c r="N30" s="396" t="s">
        <v>436</v>
      </c>
    </row>
    <row r="31" spans="2:14" ht="18" x14ac:dyDescent="0.35">
      <c r="D31" s="376" t="s">
        <v>139</v>
      </c>
      <c r="E31" s="377">
        <v>36526</v>
      </c>
      <c r="F31" s="377" t="s">
        <v>134</v>
      </c>
      <c r="G31" s="369">
        <v>14000</v>
      </c>
      <c r="I31" s="372" t="s">
        <v>401</v>
      </c>
      <c r="J31" s="374">
        <f>LOOKUP(I31,D31:D48,G31:G48)</f>
        <v>28000</v>
      </c>
      <c r="K31" s="374">
        <f>LOOKUP(I31,$D$31:$G$48)</f>
        <v>28000</v>
      </c>
      <c r="L31" s="381" t="str">
        <f>LOOKUP(I31,$D$30:$D$48,$F$30:$F$48)</f>
        <v>South</v>
      </c>
      <c r="M31" s="397">
        <f>LOOKUP(I31,$D$30:$E$48)</f>
        <v>36540</v>
      </c>
      <c r="N31" s="398" t="str">
        <f>LOOKUP(I31,$D$30:$F$48)</f>
        <v>South</v>
      </c>
    </row>
    <row r="32" spans="2:14" ht="18" x14ac:dyDescent="0.35">
      <c r="D32" s="383" t="s">
        <v>139</v>
      </c>
      <c r="E32" s="377">
        <v>36528</v>
      </c>
      <c r="F32" s="377" t="s">
        <v>126</v>
      </c>
      <c r="G32" s="369">
        <v>16000</v>
      </c>
      <c r="I32" s="372" t="s">
        <v>397</v>
      </c>
      <c r="J32" s="374">
        <f>LOOKUP(I32,D30:D48,G30:G48)</f>
        <v>20000</v>
      </c>
      <c r="K32" s="374">
        <f t="shared" ref="K32:K37" si="4">LOOKUP(I32,$D$31:$G$48)</f>
        <v>20000</v>
      </c>
      <c r="L32" s="381" t="str">
        <f t="shared" ref="L32:L37" si="5">LOOKUP(I32,$D$30:$D$48,$F$30:$F$48)</f>
        <v>South</v>
      </c>
      <c r="M32" s="397">
        <f t="shared" ref="M32:M37" si="6">LOOKUP(I32,$D$30:$E$48)</f>
        <v>36538</v>
      </c>
      <c r="N32" s="398" t="str">
        <f t="shared" ref="N32:N37" si="7">LOOKUP(I32,$D$30:$F$48)</f>
        <v>South</v>
      </c>
    </row>
    <row r="33" spans="4:14" ht="18" x14ac:dyDescent="0.35">
      <c r="D33" s="376" t="s">
        <v>399</v>
      </c>
      <c r="E33" s="377">
        <v>36533</v>
      </c>
      <c r="F33" s="377" t="s">
        <v>128</v>
      </c>
      <c r="G33" s="369">
        <v>2000</v>
      </c>
      <c r="I33" s="372" t="s">
        <v>399</v>
      </c>
      <c r="J33" s="374">
        <f t="shared" ref="J33:J37" si="8">LOOKUP(I33,D31:D49,G31:G49)</f>
        <v>50000</v>
      </c>
      <c r="K33" s="374">
        <f t="shared" si="4"/>
        <v>50000</v>
      </c>
      <c r="L33" s="381" t="str">
        <f t="shared" si="5"/>
        <v>West</v>
      </c>
      <c r="M33" s="397">
        <f t="shared" si="6"/>
        <v>36537</v>
      </c>
      <c r="N33" s="398" t="str">
        <f t="shared" si="7"/>
        <v>West</v>
      </c>
    </row>
    <row r="34" spans="4:14" ht="18" x14ac:dyDescent="0.35">
      <c r="D34" s="376" t="s">
        <v>399</v>
      </c>
      <c r="E34" s="377">
        <v>36531</v>
      </c>
      <c r="F34" s="377" t="s">
        <v>128</v>
      </c>
      <c r="G34" s="369">
        <v>4000</v>
      </c>
      <c r="I34" s="372" t="s">
        <v>406</v>
      </c>
      <c r="J34" s="374">
        <f t="shared" si="8"/>
        <v>42000</v>
      </c>
      <c r="K34" s="374">
        <f t="shared" si="4"/>
        <v>42000</v>
      </c>
      <c r="L34" s="381" t="str">
        <f t="shared" si="5"/>
        <v>West</v>
      </c>
      <c r="M34" s="397">
        <f t="shared" si="6"/>
        <v>36529</v>
      </c>
      <c r="N34" s="398" t="str">
        <f t="shared" si="7"/>
        <v>West</v>
      </c>
    </row>
    <row r="35" spans="4:14" ht="18" x14ac:dyDescent="0.35">
      <c r="D35" s="383" t="s">
        <v>399</v>
      </c>
      <c r="E35" s="377">
        <v>36537</v>
      </c>
      <c r="F35" s="377" t="s">
        <v>132</v>
      </c>
      <c r="G35" s="369">
        <v>50000</v>
      </c>
      <c r="I35" s="372" t="s">
        <v>434</v>
      </c>
      <c r="J35" s="374">
        <f>LOOKUP(I35,D30:D48,G30:G48)</f>
        <v>16000</v>
      </c>
      <c r="K35" s="374">
        <f t="shared" si="4"/>
        <v>16000</v>
      </c>
      <c r="L35" s="381" t="str">
        <f t="shared" si="5"/>
        <v>South</v>
      </c>
      <c r="M35" s="397">
        <f t="shared" si="6"/>
        <v>36528</v>
      </c>
      <c r="N35" s="398" t="str">
        <f t="shared" si="7"/>
        <v>South</v>
      </c>
    </row>
    <row r="36" spans="4:14" ht="18" x14ac:dyDescent="0.35">
      <c r="D36" s="376" t="s">
        <v>400</v>
      </c>
      <c r="E36" s="377">
        <v>36544</v>
      </c>
      <c r="F36" s="376" t="s">
        <v>134</v>
      </c>
      <c r="G36" s="369">
        <v>18000</v>
      </c>
      <c r="I36" s="372" t="s">
        <v>398</v>
      </c>
      <c r="J36" s="374">
        <f t="shared" si="8"/>
        <v>25000</v>
      </c>
      <c r="K36" s="374">
        <f t="shared" si="4"/>
        <v>25000</v>
      </c>
      <c r="L36" s="381" t="str">
        <f t="shared" si="5"/>
        <v>North</v>
      </c>
      <c r="M36" s="397">
        <f t="shared" si="6"/>
        <v>36535</v>
      </c>
      <c r="N36" s="398" t="str">
        <f t="shared" si="7"/>
        <v>North</v>
      </c>
    </row>
    <row r="37" spans="4:14" ht="18" x14ac:dyDescent="0.35">
      <c r="D37" s="376" t="s">
        <v>400</v>
      </c>
      <c r="E37" s="377">
        <v>36538</v>
      </c>
      <c r="F37" s="377" t="s">
        <v>126</v>
      </c>
      <c r="G37" s="369">
        <v>30000</v>
      </c>
      <c r="I37" s="372" t="s">
        <v>405</v>
      </c>
      <c r="J37" s="374">
        <f t="shared" si="8"/>
        <v>38000</v>
      </c>
      <c r="K37" s="374">
        <f t="shared" si="4"/>
        <v>38000</v>
      </c>
      <c r="L37" s="381" t="str">
        <f t="shared" si="5"/>
        <v>West</v>
      </c>
      <c r="M37" s="397">
        <f t="shared" si="6"/>
        <v>36532</v>
      </c>
      <c r="N37" s="398" t="str">
        <f t="shared" si="7"/>
        <v>West</v>
      </c>
    </row>
    <row r="38" spans="4:14" ht="18" x14ac:dyDescent="0.3">
      <c r="D38" s="376" t="s">
        <v>405</v>
      </c>
      <c r="E38" s="377">
        <v>36542</v>
      </c>
      <c r="F38" s="377" t="s">
        <v>128</v>
      </c>
      <c r="G38" s="369">
        <v>6000</v>
      </c>
    </row>
    <row r="39" spans="4:14" ht="18" x14ac:dyDescent="0.3">
      <c r="D39" s="383" t="s">
        <v>405</v>
      </c>
      <c r="E39" s="377">
        <v>36532</v>
      </c>
      <c r="F39" s="377" t="s">
        <v>132</v>
      </c>
      <c r="G39" s="369">
        <v>38000</v>
      </c>
    </row>
    <row r="40" spans="4:14" ht="18" x14ac:dyDescent="0.3">
      <c r="D40" s="383" t="s">
        <v>397</v>
      </c>
      <c r="E40" s="377">
        <v>36538</v>
      </c>
      <c r="F40" s="377" t="s">
        <v>126</v>
      </c>
      <c r="G40" s="369">
        <v>20000</v>
      </c>
    </row>
    <row r="41" spans="4:14" ht="18" x14ac:dyDescent="0.3">
      <c r="D41" s="383" t="s">
        <v>406</v>
      </c>
      <c r="E41" s="377">
        <v>36529</v>
      </c>
      <c r="F41" s="377" t="s">
        <v>132</v>
      </c>
      <c r="G41" s="369">
        <v>42000</v>
      </c>
    </row>
    <row r="42" spans="4:14" ht="18" x14ac:dyDescent="0.3">
      <c r="D42" s="376" t="s">
        <v>72</v>
      </c>
      <c r="E42" s="377">
        <v>36535</v>
      </c>
      <c r="F42" s="377" t="s">
        <v>128</v>
      </c>
      <c r="G42" s="369">
        <v>8000</v>
      </c>
    </row>
    <row r="43" spans="4:14" ht="18" x14ac:dyDescent="0.3">
      <c r="D43" s="376" t="s">
        <v>72</v>
      </c>
      <c r="E43" s="377">
        <v>36545</v>
      </c>
      <c r="F43" s="376" t="s">
        <v>134</v>
      </c>
      <c r="G43" s="369">
        <v>20000</v>
      </c>
    </row>
    <row r="44" spans="4:14" ht="18" x14ac:dyDescent="0.3">
      <c r="D44" s="376" t="s">
        <v>72</v>
      </c>
      <c r="E44" s="377">
        <v>36547</v>
      </c>
      <c r="F44" s="376" t="s">
        <v>132</v>
      </c>
      <c r="G44" s="369">
        <v>40000</v>
      </c>
    </row>
    <row r="45" spans="4:14" ht="18" x14ac:dyDescent="0.3">
      <c r="D45" s="376" t="s">
        <v>401</v>
      </c>
      <c r="E45" s="377">
        <v>36531</v>
      </c>
      <c r="F45" s="377" t="s">
        <v>128</v>
      </c>
      <c r="G45" s="369">
        <v>10000</v>
      </c>
    </row>
    <row r="46" spans="4:14" ht="18" x14ac:dyDescent="0.3">
      <c r="D46" s="384" t="s">
        <v>401</v>
      </c>
      <c r="E46" s="378">
        <v>36540</v>
      </c>
      <c r="F46" s="378" t="s">
        <v>126</v>
      </c>
      <c r="G46" s="369">
        <v>28000</v>
      </c>
    </row>
    <row r="47" spans="4:14" ht="18" x14ac:dyDescent="0.3">
      <c r="D47" s="385" t="s">
        <v>398</v>
      </c>
      <c r="E47" s="379">
        <v>36535</v>
      </c>
      <c r="F47" s="379" t="s">
        <v>134</v>
      </c>
      <c r="G47" s="369">
        <v>25000</v>
      </c>
    </row>
    <row r="48" spans="4:14" ht="18" x14ac:dyDescent="0.3">
      <c r="D48" s="376" t="s">
        <v>402</v>
      </c>
      <c r="E48" s="377">
        <v>36536</v>
      </c>
      <c r="F48" s="377" t="s">
        <v>132</v>
      </c>
      <c r="G48" s="369">
        <v>36000</v>
      </c>
    </row>
    <row r="51" spans="2:26" ht="18" x14ac:dyDescent="0.3">
      <c r="G51" s="382"/>
      <c r="H51" s="387"/>
      <c r="I51" s="388"/>
      <c r="J51" s="388"/>
      <c r="K51" s="388"/>
      <c r="L51" s="388"/>
      <c r="M51" s="388"/>
      <c r="N51" s="388"/>
      <c r="O51" s="388"/>
      <c r="P51" s="388"/>
      <c r="Q51" s="388"/>
      <c r="R51" s="388"/>
      <c r="S51" s="388"/>
      <c r="T51" s="388"/>
      <c r="U51" s="388"/>
      <c r="V51" s="388"/>
      <c r="W51" s="388"/>
      <c r="X51" s="388"/>
      <c r="Y51" s="388"/>
      <c r="Z51" s="388"/>
    </row>
    <row r="52" spans="2:26" ht="36" x14ac:dyDescent="0.3">
      <c r="B52" s="375" t="s">
        <v>121</v>
      </c>
      <c r="C52" s="383" t="s">
        <v>139</v>
      </c>
      <c r="D52" s="383" t="s">
        <v>139</v>
      </c>
      <c r="E52" s="383" t="s">
        <v>399</v>
      </c>
      <c r="F52" s="383" t="s">
        <v>399</v>
      </c>
      <c r="G52" s="383" t="s">
        <v>399</v>
      </c>
      <c r="H52" s="383" t="s">
        <v>400</v>
      </c>
      <c r="I52" s="383" t="s">
        <v>400</v>
      </c>
      <c r="J52" s="383" t="s">
        <v>405</v>
      </c>
      <c r="K52" s="383" t="s">
        <v>405</v>
      </c>
      <c r="L52" s="383" t="s">
        <v>397</v>
      </c>
      <c r="M52" s="383" t="s">
        <v>406</v>
      </c>
      <c r="N52" s="383" t="s">
        <v>72</v>
      </c>
      <c r="O52" s="383" t="s">
        <v>72</v>
      </c>
      <c r="P52" s="383" t="s">
        <v>72</v>
      </c>
      <c r="Q52" s="383" t="s">
        <v>401</v>
      </c>
      <c r="R52" s="384" t="s">
        <v>401</v>
      </c>
      <c r="S52" s="385" t="s">
        <v>398</v>
      </c>
      <c r="T52" s="383" t="s">
        <v>402</v>
      </c>
      <c r="U52" s="389"/>
      <c r="V52" s="389"/>
      <c r="W52" s="389"/>
      <c r="X52" s="389"/>
      <c r="Y52" s="389"/>
      <c r="Z52" s="389"/>
    </row>
    <row r="53" spans="2:26" ht="18" x14ac:dyDescent="0.3">
      <c r="B53" s="375" t="s">
        <v>243</v>
      </c>
      <c r="C53" s="377">
        <v>36526</v>
      </c>
      <c r="D53" s="377">
        <v>36528</v>
      </c>
      <c r="E53" s="377">
        <v>36533</v>
      </c>
      <c r="F53" s="377">
        <v>36531</v>
      </c>
      <c r="G53" s="377">
        <v>36537</v>
      </c>
      <c r="H53" s="377">
        <v>36544</v>
      </c>
      <c r="I53" s="377">
        <v>36538</v>
      </c>
      <c r="J53" s="377">
        <v>36542</v>
      </c>
      <c r="K53" s="377">
        <v>36532</v>
      </c>
      <c r="L53" s="377">
        <v>36538</v>
      </c>
      <c r="M53" s="377">
        <v>36529</v>
      </c>
      <c r="N53" s="377">
        <v>36535</v>
      </c>
      <c r="O53" s="377">
        <v>36545</v>
      </c>
      <c r="P53" s="377">
        <v>36547</v>
      </c>
      <c r="Q53" s="377">
        <v>36531</v>
      </c>
      <c r="R53" s="378">
        <v>36540</v>
      </c>
      <c r="S53" s="379">
        <v>36535</v>
      </c>
      <c r="T53" s="377">
        <v>36536</v>
      </c>
      <c r="U53" s="390"/>
      <c r="V53" s="390"/>
      <c r="W53" s="389"/>
      <c r="X53" s="389"/>
      <c r="Y53" s="389"/>
      <c r="Z53" s="389"/>
    </row>
    <row r="54" spans="2:26" ht="18" x14ac:dyDescent="0.3">
      <c r="B54" s="375" t="s">
        <v>396</v>
      </c>
      <c r="C54" s="377" t="s">
        <v>134</v>
      </c>
      <c r="D54" s="377" t="s">
        <v>126</v>
      </c>
      <c r="E54" s="377" t="s">
        <v>128</v>
      </c>
      <c r="F54" s="377" t="s">
        <v>128</v>
      </c>
      <c r="G54" s="377" t="s">
        <v>132</v>
      </c>
      <c r="H54" s="376" t="s">
        <v>134</v>
      </c>
      <c r="I54" s="377" t="s">
        <v>126</v>
      </c>
      <c r="J54" s="377" t="s">
        <v>128</v>
      </c>
      <c r="K54" s="377" t="s">
        <v>132</v>
      </c>
      <c r="L54" s="377" t="s">
        <v>126</v>
      </c>
      <c r="M54" s="377" t="s">
        <v>132</v>
      </c>
      <c r="N54" s="377" t="s">
        <v>128</v>
      </c>
      <c r="O54" s="376" t="s">
        <v>134</v>
      </c>
      <c r="P54" s="376" t="s">
        <v>132</v>
      </c>
      <c r="Q54" s="377" t="s">
        <v>128</v>
      </c>
      <c r="R54" s="378" t="s">
        <v>126</v>
      </c>
      <c r="S54" s="379" t="s">
        <v>134</v>
      </c>
      <c r="T54" s="377" t="s">
        <v>132</v>
      </c>
      <c r="U54" s="391"/>
      <c r="V54" s="391"/>
      <c r="W54" s="391"/>
      <c r="X54" s="391"/>
      <c r="Y54" s="391"/>
      <c r="Z54" s="391"/>
    </row>
    <row r="55" spans="2:26" ht="18" x14ac:dyDescent="0.3">
      <c r="B55" s="375" t="s">
        <v>403</v>
      </c>
      <c r="C55" s="369">
        <v>14000</v>
      </c>
      <c r="D55" s="369">
        <v>16000</v>
      </c>
      <c r="E55" s="369">
        <v>2000</v>
      </c>
      <c r="F55" s="369">
        <v>4000</v>
      </c>
      <c r="G55" s="369">
        <v>50000</v>
      </c>
      <c r="H55" s="369">
        <v>18000</v>
      </c>
      <c r="I55" s="369">
        <v>30000</v>
      </c>
      <c r="J55" s="369">
        <v>6000</v>
      </c>
      <c r="K55" s="369">
        <v>38000</v>
      </c>
      <c r="L55" s="369">
        <v>20000</v>
      </c>
      <c r="M55" s="369">
        <v>42000</v>
      </c>
      <c r="N55" s="369">
        <v>8000</v>
      </c>
      <c r="O55" s="369">
        <v>20000</v>
      </c>
      <c r="P55" s="369">
        <v>40000</v>
      </c>
      <c r="Q55" s="369">
        <v>10000</v>
      </c>
      <c r="R55" s="369">
        <v>28000</v>
      </c>
      <c r="S55" s="369">
        <v>25000</v>
      </c>
      <c r="T55" s="369">
        <v>36000</v>
      </c>
    </row>
    <row r="58" spans="2:26" ht="18" customHeight="1" x14ac:dyDescent="0.3">
      <c r="G58" s="386"/>
      <c r="H58" s="392"/>
      <c r="I58" s="392"/>
      <c r="J58" s="392"/>
      <c r="K58" s="392"/>
      <c r="L58" s="392"/>
      <c r="M58" s="392"/>
      <c r="N58" s="372" t="s">
        <v>404</v>
      </c>
      <c r="O58" s="372" t="s">
        <v>401</v>
      </c>
      <c r="P58" s="372" t="s">
        <v>397</v>
      </c>
      <c r="Q58" s="372" t="s">
        <v>399</v>
      </c>
      <c r="R58" s="372" t="s">
        <v>406</v>
      </c>
      <c r="S58" s="372" t="s">
        <v>434</v>
      </c>
      <c r="T58" s="372" t="s">
        <v>398</v>
      </c>
      <c r="U58" s="372" t="s">
        <v>405</v>
      </c>
      <c r="V58" s="602" t="s">
        <v>435</v>
      </c>
      <c r="W58" s="602"/>
      <c r="X58" s="602"/>
    </row>
    <row r="59" spans="2:26" ht="18" customHeight="1" x14ac:dyDescent="0.3">
      <c r="H59" s="393"/>
      <c r="I59" s="394"/>
      <c r="J59" s="394"/>
      <c r="K59" s="394"/>
      <c r="L59" s="394"/>
      <c r="M59" s="394"/>
      <c r="N59" s="380" t="s">
        <v>430</v>
      </c>
      <c r="O59" s="374" t="e">
        <f>LOOKUP(N59,C55:T55)</f>
        <v>#N/A</v>
      </c>
      <c r="P59" s="374"/>
      <c r="Q59" s="374"/>
      <c r="R59" s="374"/>
      <c r="S59" s="374"/>
      <c r="T59" s="374"/>
      <c r="U59" s="374"/>
      <c r="V59" s="602"/>
      <c r="W59" s="602"/>
      <c r="X59" s="602"/>
    </row>
    <row r="60" spans="2:26" ht="18" customHeight="1" x14ac:dyDescent="0.3">
      <c r="H60" s="393"/>
      <c r="I60" s="394"/>
      <c r="J60" s="394"/>
      <c r="K60" s="394"/>
      <c r="L60" s="394"/>
      <c r="M60" s="394"/>
      <c r="N60" s="380" t="s">
        <v>431</v>
      </c>
      <c r="O60" s="374"/>
      <c r="P60" s="374"/>
      <c r="Q60" s="374"/>
      <c r="R60" s="374"/>
      <c r="S60" s="374"/>
      <c r="T60" s="374"/>
      <c r="U60" s="374"/>
      <c r="V60" s="602"/>
      <c r="W60" s="602"/>
      <c r="X60" s="602"/>
    </row>
    <row r="61" spans="2:26" ht="18" customHeight="1" x14ac:dyDescent="0.3">
      <c r="H61" s="393"/>
      <c r="I61" s="395"/>
      <c r="J61" s="395"/>
      <c r="K61" s="395"/>
      <c r="L61" s="395"/>
      <c r="M61" s="395"/>
      <c r="N61" s="380" t="s">
        <v>432</v>
      </c>
      <c r="O61" s="381"/>
      <c r="P61" s="381"/>
      <c r="Q61" s="381"/>
      <c r="R61" s="381"/>
      <c r="S61" s="381"/>
      <c r="T61" s="381"/>
      <c r="U61" s="381"/>
      <c r="V61" s="602"/>
      <c r="W61" s="602"/>
      <c r="X61" s="602"/>
    </row>
    <row r="62" spans="2:26" ht="18" customHeight="1" x14ac:dyDescent="0.3">
      <c r="H62" s="393"/>
      <c r="I62" s="395"/>
      <c r="J62" s="395"/>
      <c r="K62" s="395"/>
      <c r="L62" s="395"/>
      <c r="M62" s="395"/>
      <c r="N62" s="380" t="s">
        <v>433</v>
      </c>
      <c r="O62" s="381"/>
      <c r="P62" s="381"/>
      <c r="Q62" s="381"/>
      <c r="R62" s="381"/>
      <c r="S62" s="381"/>
      <c r="T62" s="381"/>
      <c r="U62" s="381"/>
      <c r="V62" s="602"/>
      <c r="W62" s="602"/>
      <c r="X62" s="602"/>
    </row>
    <row r="63" spans="2:26" ht="18" customHeight="1" x14ac:dyDescent="0.3">
      <c r="H63" s="382"/>
      <c r="I63" s="382"/>
      <c r="J63" s="382"/>
      <c r="K63" s="382"/>
      <c r="L63" s="382"/>
      <c r="M63" s="382"/>
      <c r="N63" s="382"/>
      <c r="O63" s="382"/>
      <c r="P63" s="382"/>
      <c r="Q63" s="382"/>
      <c r="R63" s="382"/>
      <c r="S63" s="382"/>
      <c r="T63" s="382"/>
      <c r="U63" s="382"/>
      <c r="V63" s="602"/>
      <c r="W63" s="602"/>
      <c r="X63" s="602"/>
    </row>
  </sheetData>
  <mergeCells count="2">
    <mergeCell ref="F1:G2"/>
    <mergeCell ref="V58:X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0CD4-8A95-4E9B-B2B3-7FCD98FD677C}">
  <dimension ref="A1:S83"/>
  <sheetViews>
    <sheetView zoomScale="69" zoomScaleNormal="25" workbookViewId="0">
      <selection activeCell="I75" sqref="I75"/>
    </sheetView>
  </sheetViews>
  <sheetFormatPr defaultRowHeight="14.4" x14ac:dyDescent="0.3"/>
  <cols>
    <col min="1" max="1" width="11" customWidth="1"/>
    <col min="2" max="2" width="25.44140625" customWidth="1"/>
    <col min="3" max="3" width="23.6640625" customWidth="1"/>
    <col min="4" max="4" width="22.88671875" customWidth="1"/>
    <col min="5" max="5" width="25.44140625" customWidth="1"/>
    <col min="6" max="6" width="24.44140625" customWidth="1"/>
    <col min="7" max="7" width="28" customWidth="1"/>
    <col min="8" max="8" width="28.88671875" customWidth="1"/>
    <col min="9" max="9" width="25.88671875" customWidth="1"/>
    <col min="10" max="10" width="28.5546875" customWidth="1"/>
    <col min="11" max="11" width="29" customWidth="1"/>
    <col min="12" max="12" width="13.77734375" bestFit="1" customWidth="1"/>
    <col min="13" max="14" width="13.5546875" bestFit="1" customWidth="1"/>
    <col min="15" max="17" width="13.77734375" bestFit="1" customWidth="1"/>
    <col min="18" max="18" width="17.109375" customWidth="1"/>
    <col min="19" max="19" width="15.109375" customWidth="1"/>
  </cols>
  <sheetData>
    <row r="1" spans="1:10" ht="18" x14ac:dyDescent="0.3">
      <c r="A1" s="305"/>
    </row>
    <row r="2" spans="1:10" ht="21" x14ac:dyDescent="0.3">
      <c r="A2" s="608">
        <v>1</v>
      </c>
      <c r="B2" s="307" t="s">
        <v>243</v>
      </c>
      <c r="C2" s="308" t="s">
        <v>396</v>
      </c>
      <c r="D2" s="308" t="s">
        <v>121</v>
      </c>
      <c r="E2" s="308" t="s">
        <v>403</v>
      </c>
    </row>
    <row r="3" spans="1:10" ht="14.4" customHeight="1" x14ac:dyDescent="0.3">
      <c r="A3" s="608"/>
      <c r="B3" s="309">
        <v>36533</v>
      </c>
      <c r="C3" s="310" t="s">
        <v>128</v>
      </c>
      <c r="D3" s="310" t="s">
        <v>139</v>
      </c>
      <c r="E3" s="311">
        <v>2000</v>
      </c>
    </row>
    <row r="4" spans="1:10" ht="14.4" customHeight="1" x14ac:dyDescent="0.3">
      <c r="A4" s="608"/>
      <c r="B4" s="309">
        <v>36540</v>
      </c>
      <c r="C4" s="310" t="s">
        <v>126</v>
      </c>
      <c r="D4" s="310" t="s">
        <v>139</v>
      </c>
      <c r="E4" s="311">
        <v>28000</v>
      </c>
      <c r="F4" s="305"/>
    </row>
    <row r="5" spans="1:10" ht="14.4" customHeight="1" x14ac:dyDescent="0.3">
      <c r="A5" s="608"/>
      <c r="B5" s="309">
        <v>36526</v>
      </c>
      <c r="C5" s="310" t="s">
        <v>134</v>
      </c>
      <c r="D5" s="310" t="s">
        <v>399</v>
      </c>
      <c r="E5" s="311">
        <v>14000</v>
      </c>
      <c r="F5" s="305"/>
    </row>
    <row r="6" spans="1:10" ht="21" x14ac:dyDescent="0.3">
      <c r="A6" s="608"/>
      <c r="B6" s="309">
        <v>36536</v>
      </c>
      <c r="C6" s="310" t="s">
        <v>132</v>
      </c>
      <c r="D6" s="310" t="s">
        <v>399</v>
      </c>
      <c r="E6" s="312">
        <v>36000</v>
      </c>
      <c r="F6" s="320" t="s">
        <v>409</v>
      </c>
      <c r="G6" s="323" t="s">
        <v>404</v>
      </c>
      <c r="H6" s="323" t="s">
        <v>396</v>
      </c>
      <c r="I6" s="324" t="s">
        <v>403</v>
      </c>
      <c r="J6" s="609" t="s">
        <v>410</v>
      </c>
    </row>
    <row r="7" spans="1:10" ht="18" x14ac:dyDescent="0.3">
      <c r="A7" s="608"/>
      <c r="B7" s="309">
        <v>36528</v>
      </c>
      <c r="C7" s="310" t="s">
        <v>134</v>
      </c>
      <c r="D7" s="310" t="s">
        <v>400</v>
      </c>
      <c r="E7" s="312">
        <v>16000</v>
      </c>
      <c r="F7" s="321"/>
      <c r="G7" s="325" t="s">
        <v>139</v>
      </c>
      <c r="H7" s="326" t="str">
        <f>_xlfn.XLOOKUP(G7,$D$2:$D$19,$C$2:$C$19)</f>
        <v>East</v>
      </c>
      <c r="I7" s="327">
        <f>_xlfn.XLOOKUP(G7,$D$3:$D$19,$E$3:$E$19)</f>
        <v>2000</v>
      </c>
      <c r="J7" s="610"/>
    </row>
    <row r="8" spans="1:10" ht="18" x14ac:dyDescent="0.3">
      <c r="A8" s="608"/>
      <c r="B8" s="309">
        <v>36544</v>
      </c>
      <c r="C8" s="310" t="s">
        <v>134</v>
      </c>
      <c r="D8" s="310" t="s">
        <v>400</v>
      </c>
      <c r="E8" s="312">
        <v>18000</v>
      </c>
      <c r="F8" s="320" t="s">
        <v>409</v>
      </c>
      <c r="G8" s="328" t="s">
        <v>139</v>
      </c>
      <c r="H8" s="326" t="str">
        <f>_xlfn.XLOOKUP(G8,$D$2:$D$19,$C$2:$C$19)</f>
        <v>East</v>
      </c>
      <c r="I8" s="327">
        <f>_xlfn.XLOOKUP(G8,D2:D19,E2:E19,,,-1)</f>
        <v>28000</v>
      </c>
      <c r="J8" s="610"/>
    </row>
    <row r="9" spans="1:10" ht="18" x14ac:dyDescent="0.3">
      <c r="A9" s="608"/>
      <c r="B9" s="309">
        <v>36538</v>
      </c>
      <c r="C9" s="310" t="s">
        <v>126</v>
      </c>
      <c r="D9" s="310" t="s">
        <v>405</v>
      </c>
      <c r="E9" s="312">
        <v>30000</v>
      </c>
      <c r="F9" s="321"/>
      <c r="G9" s="329" t="s">
        <v>405</v>
      </c>
      <c r="H9" s="326" t="str">
        <f>_xlfn.XLOOKUP(G9,$D$2:$D$19,$C$2:$C$19)</f>
        <v>South</v>
      </c>
      <c r="I9" s="327">
        <f t="shared" ref="I9" si="0">_xlfn.XLOOKUP(G9,$D$3:$D$19,$E$3:$E$19)</f>
        <v>30000</v>
      </c>
      <c r="J9" s="610"/>
    </row>
    <row r="10" spans="1:10" ht="14.4" customHeight="1" x14ac:dyDescent="0.3">
      <c r="A10" s="608"/>
      <c r="B10" s="309">
        <v>36532</v>
      </c>
      <c r="C10" s="310" t="s">
        <v>132</v>
      </c>
      <c r="D10" s="310" t="s">
        <v>405</v>
      </c>
      <c r="E10" s="312">
        <v>38000</v>
      </c>
      <c r="F10" s="321"/>
      <c r="G10" s="330" t="s">
        <v>405</v>
      </c>
      <c r="H10" s="326" t="str">
        <f t="shared" ref="H10" si="1">_xlfn.XLOOKUP(G10,$D$2:$D$19,$C$2:$C$19)</f>
        <v>South</v>
      </c>
      <c r="I10" s="327">
        <f t="shared" ref="I10" si="2">_xlfn.XLOOKUP(G10,D4:D21,E4:E21,,,-1)</f>
        <v>38000</v>
      </c>
      <c r="J10" s="610"/>
    </row>
    <row r="11" spans="1:10" ht="18" x14ac:dyDescent="0.3">
      <c r="A11" s="608"/>
      <c r="B11" s="309">
        <v>36531</v>
      </c>
      <c r="C11" s="310" t="s">
        <v>128</v>
      </c>
      <c r="D11" s="310" t="s">
        <v>397</v>
      </c>
      <c r="E11" s="312">
        <v>4000</v>
      </c>
      <c r="F11" s="320" t="s">
        <v>409</v>
      </c>
      <c r="G11" s="330" t="s">
        <v>406</v>
      </c>
      <c r="H11" s="326" t="str">
        <f t="shared" ref="H11" si="3">_xlfn.XLOOKUP(G11,$D$2:$D$19,$C$2:$C$19,,,-1)</f>
        <v>South</v>
      </c>
      <c r="I11" s="327">
        <f t="shared" ref="I11" si="4">_xlfn.XLOOKUP(G11,$D$3:$D$19,$E$3:$E$19)</f>
        <v>20000</v>
      </c>
      <c r="J11" s="610"/>
    </row>
    <row r="12" spans="1:10" ht="18" x14ac:dyDescent="0.3">
      <c r="A12" s="608"/>
      <c r="B12" s="309">
        <v>36538</v>
      </c>
      <c r="C12" s="310" t="s">
        <v>126</v>
      </c>
      <c r="D12" s="310" t="s">
        <v>406</v>
      </c>
      <c r="E12" s="311">
        <v>20000</v>
      </c>
      <c r="F12" s="322"/>
      <c r="G12" s="330" t="s">
        <v>398</v>
      </c>
      <c r="H12" s="326" t="str">
        <f t="shared" ref="H12:H13" si="5">_xlfn.XLOOKUP(G12,$D$2:$D$19,$C$2:$C$19)</f>
        <v>East</v>
      </c>
      <c r="I12" s="327">
        <f t="shared" ref="I12" si="6">_xlfn.XLOOKUP(G12,D6:D23,E6:E23,,,-1)</f>
        <v>25000</v>
      </c>
      <c r="J12" s="610"/>
    </row>
    <row r="13" spans="1:10" ht="18" x14ac:dyDescent="0.3">
      <c r="A13" s="608"/>
      <c r="B13" s="309">
        <v>36542</v>
      </c>
      <c r="C13" s="310" t="s">
        <v>128</v>
      </c>
      <c r="D13" s="310" t="s">
        <v>72</v>
      </c>
      <c r="E13" s="311">
        <v>6000</v>
      </c>
      <c r="F13" s="320" t="s">
        <v>409</v>
      </c>
      <c r="G13" s="330" t="s">
        <v>398</v>
      </c>
      <c r="H13" s="326" t="str">
        <f t="shared" si="5"/>
        <v>East</v>
      </c>
      <c r="I13" s="327">
        <f t="shared" ref="I13" si="7">_xlfn.XLOOKUP(G13,$D$3:$D$19,$E$3:$E$19)</f>
        <v>10000</v>
      </c>
      <c r="J13" s="610"/>
    </row>
    <row r="14" spans="1:10" ht="18" x14ac:dyDescent="0.3">
      <c r="A14" s="608"/>
      <c r="B14" s="313">
        <v>36535</v>
      </c>
      <c r="C14" s="314" t="s">
        <v>128</v>
      </c>
      <c r="D14" s="314" t="s">
        <v>72</v>
      </c>
      <c r="E14" s="315">
        <v>8000</v>
      </c>
      <c r="G14" s="330" t="s">
        <v>401</v>
      </c>
      <c r="H14" s="326" t="str">
        <f t="shared" ref="H14" si="8">_xlfn.XLOOKUP(G14,$D$2:$D$19,$C$2:$C$19,,,-1)</f>
        <v>West</v>
      </c>
      <c r="I14" s="327">
        <f t="shared" ref="I14" si="9">_xlfn.XLOOKUP(G14,D8:D25,E8:E25,,,-1)</f>
        <v>42000</v>
      </c>
      <c r="J14" s="610"/>
    </row>
    <row r="15" spans="1:10" ht="18" x14ac:dyDescent="0.3">
      <c r="A15" s="608"/>
      <c r="B15" s="316">
        <v>36545</v>
      </c>
      <c r="C15" s="317" t="s">
        <v>134</v>
      </c>
      <c r="D15" s="317" t="s">
        <v>401</v>
      </c>
      <c r="E15" s="318">
        <v>20000</v>
      </c>
      <c r="G15" s="330" t="s">
        <v>401</v>
      </c>
      <c r="H15" s="326" t="str">
        <f t="shared" ref="H15" si="10">_xlfn.XLOOKUP(G15,$D$2:$D$19,$C$2:$C$19)</f>
        <v>North</v>
      </c>
      <c r="I15" s="327">
        <f t="shared" ref="I15" si="11">_xlfn.XLOOKUP(G15,$D$3:$D$19,$E$3:$E$19)</f>
        <v>20000</v>
      </c>
      <c r="J15" s="611"/>
    </row>
    <row r="16" spans="1:10" ht="14.4" customHeight="1" x14ac:dyDescent="0.3">
      <c r="A16" s="608"/>
      <c r="B16" s="316">
        <v>36529</v>
      </c>
      <c r="C16" s="317" t="s">
        <v>132</v>
      </c>
      <c r="D16" s="317" t="s">
        <v>401</v>
      </c>
      <c r="E16" s="318">
        <v>42000</v>
      </c>
    </row>
    <row r="17" spans="1:19" ht="14.4" customHeight="1" x14ac:dyDescent="0.3">
      <c r="A17" s="608"/>
      <c r="B17" s="316">
        <v>36531</v>
      </c>
      <c r="C17" s="317" t="s">
        <v>128</v>
      </c>
      <c r="D17" s="317" t="s">
        <v>398</v>
      </c>
      <c r="E17" s="318">
        <v>10000</v>
      </c>
    </row>
    <row r="18" spans="1:19" ht="14.4" customHeight="1" x14ac:dyDescent="0.3">
      <c r="A18" s="608"/>
      <c r="B18" s="316">
        <v>36535</v>
      </c>
      <c r="C18" s="317" t="s">
        <v>134</v>
      </c>
      <c r="D18" s="317" t="s">
        <v>398</v>
      </c>
      <c r="E18" s="318">
        <v>25000</v>
      </c>
    </row>
    <row r="19" spans="1:19" ht="14.4" customHeight="1" x14ac:dyDescent="0.3">
      <c r="A19" s="608"/>
      <c r="B19" s="316">
        <v>36531</v>
      </c>
      <c r="C19" s="317" t="s">
        <v>132</v>
      </c>
      <c r="D19" s="317" t="s">
        <v>402</v>
      </c>
      <c r="E19" s="318">
        <v>60000</v>
      </c>
    </row>
    <row r="20" spans="1:19" ht="14.4" customHeight="1" x14ac:dyDescent="0.3">
      <c r="A20" s="306"/>
    </row>
    <row r="21" spans="1:19" ht="30" customHeight="1" x14ac:dyDescent="0.3">
      <c r="A21" s="308" t="s">
        <v>121</v>
      </c>
      <c r="B21" s="310" t="s">
        <v>139</v>
      </c>
      <c r="C21" s="310" t="s">
        <v>139</v>
      </c>
      <c r="D21" s="310" t="s">
        <v>399</v>
      </c>
      <c r="E21" s="310" t="s">
        <v>399</v>
      </c>
      <c r="F21" s="310" t="s">
        <v>399</v>
      </c>
      <c r="G21" s="310" t="s">
        <v>400</v>
      </c>
      <c r="H21" s="310" t="s">
        <v>400</v>
      </c>
      <c r="I21" s="310" t="s">
        <v>405</v>
      </c>
      <c r="J21" s="310" t="s">
        <v>405</v>
      </c>
      <c r="K21" s="310" t="s">
        <v>397</v>
      </c>
      <c r="L21" s="310" t="s">
        <v>406</v>
      </c>
      <c r="M21" s="310" t="s">
        <v>72</v>
      </c>
      <c r="N21" s="310" t="s">
        <v>72</v>
      </c>
      <c r="O21" s="310" t="s">
        <v>72</v>
      </c>
      <c r="P21" s="310" t="s">
        <v>401</v>
      </c>
      <c r="Q21" s="310" t="s">
        <v>401</v>
      </c>
      <c r="R21" s="314" t="s">
        <v>398</v>
      </c>
      <c r="S21" s="331" t="s">
        <v>402</v>
      </c>
    </row>
    <row r="22" spans="1:19" ht="21" x14ac:dyDescent="0.3">
      <c r="A22" s="308" t="s">
        <v>243</v>
      </c>
      <c r="B22" s="332">
        <v>36533</v>
      </c>
      <c r="C22" s="332">
        <v>36540</v>
      </c>
      <c r="D22" s="332">
        <v>36526</v>
      </c>
      <c r="E22" s="332">
        <v>36536</v>
      </c>
      <c r="F22" s="332">
        <v>36537</v>
      </c>
      <c r="G22" s="332">
        <v>36528</v>
      </c>
      <c r="H22" s="332">
        <v>36544</v>
      </c>
      <c r="I22" s="332">
        <v>36538</v>
      </c>
      <c r="J22" s="332">
        <v>36532</v>
      </c>
      <c r="K22" s="332">
        <v>36531</v>
      </c>
      <c r="L22" s="332">
        <v>36538</v>
      </c>
      <c r="M22" s="332">
        <v>36542</v>
      </c>
      <c r="N22" s="332">
        <v>36535</v>
      </c>
      <c r="O22" s="332">
        <v>36547</v>
      </c>
      <c r="P22" s="332">
        <v>36545</v>
      </c>
      <c r="Q22" s="332">
        <v>36529</v>
      </c>
      <c r="R22" s="333">
        <v>36531</v>
      </c>
      <c r="S22" s="334">
        <v>36535</v>
      </c>
    </row>
    <row r="23" spans="1:19" ht="24.6" customHeight="1" x14ac:dyDescent="0.3">
      <c r="A23" s="308" t="s">
        <v>396</v>
      </c>
      <c r="B23" s="332" t="s">
        <v>128</v>
      </c>
      <c r="C23" s="332" t="s">
        <v>126</v>
      </c>
      <c r="D23" s="332" t="s">
        <v>134</v>
      </c>
      <c r="E23" s="332" t="s">
        <v>132</v>
      </c>
      <c r="F23" s="332" t="s">
        <v>132</v>
      </c>
      <c r="G23" s="332" t="s">
        <v>134</v>
      </c>
      <c r="H23" s="310" t="s">
        <v>132</v>
      </c>
      <c r="I23" s="332" t="s">
        <v>126</v>
      </c>
      <c r="J23" s="332" t="s">
        <v>132</v>
      </c>
      <c r="K23" s="332" t="s">
        <v>128</v>
      </c>
      <c r="L23" s="332" t="s">
        <v>126</v>
      </c>
      <c r="M23" s="332" t="s">
        <v>128</v>
      </c>
      <c r="N23" s="332" t="s">
        <v>128</v>
      </c>
      <c r="O23" s="310" t="s">
        <v>132</v>
      </c>
      <c r="P23" s="310" t="s">
        <v>134</v>
      </c>
      <c r="Q23" s="332" t="s">
        <v>132</v>
      </c>
      <c r="R23" s="333" t="s">
        <v>128</v>
      </c>
      <c r="S23" s="334" t="s">
        <v>134</v>
      </c>
    </row>
    <row r="24" spans="1:19" ht="21" x14ac:dyDescent="0.3">
      <c r="A24" s="335" t="s">
        <v>403</v>
      </c>
      <c r="B24" s="336">
        <v>2000</v>
      </c>
      <c r="C24" s="336">
        <v>28000</v>
      </c>
      <c r="D24" s="336">
        <v>14000</v>
      </c>
      <c r="E24" s="336">
        <v>36000</v>
      </c>
      <c r="F24" s="336">
        <v>50000</v>
      </c>
      <c r="G24" s="336">
        <v>16000</v>
      </c>
      <c r="H24" s="336">
        <v>18000</v>
      </c>
      <c r="I24" s="336">
        <v>30000</v>
      </c>
      <c r="J24" s="336">
        <v>38000</v>
      </c>
      <c r="K24" s="336">
        <v>4000</v>
      </c>
      <c r="L24" s="336">
        <v>20000</v>
      </c>
      <c r="M24" s="336">
        <v>6000</v>
      </c>
      <c r="N24" s="336">
        <v>8000</v>
      </c>
      <c r="O24" s="336">
        <v>40000</v>
      </c>
      <c r="P24" s="336">
        <v>20000</v>
      </c>
      <c r="Q24" s="336">
        <v>42000</v>
      </c>
      <c r="R24" s="337">
        <v>10000</v>
      </c>
      <c r="S24" s="337">
        <v>25000</v>
      </c>
    </row>
    <row r="25" spans="1:19" ht="36" x14ac:dyDescent="0.3">
      <c r="A25" s="608">
        <v>2</v>
      </c>
      <c r="B25" s="608"/>
      <c r="C25" s="608"/>
      <c r="D25" s="608"/>
      <c r="E25" s="608"/>
      <c r="F25" s="608"/>
      <c r="G25" s="608"/>
      <c r="H25" s="608"/>
      <c r="I25" s="608"/>
      <c r="J25" s="608"/>
      <c r="K25" s="608"/>
      <c r="L25" s="608"/>
      <c r="M25" s="608"/>
      <c r="N25" s="608"/>
      <c r="O25" s="608"/>
      <c r="P25" s="608"/>
      <c r="Q25" s="608"/>
      <c r="R25" s="305"/>
      <c r="S25" s="305"/>
    </row>
    <row r="27" spans="1:19" ht="21" x14ac:dyDescent="0.3">
      <c r="A27" s="305"/>
      <c r="B27" s="338" t="s">
        <v>404</v>
      </c>
      <c r="C27" s="338" t="s">
        <v>396</v>
      </c>
      <c r="D27" s="338" t="s">
        <v>403</v>
      </c>
      <c r="E27" s="612" t="s">
        <v>412</v>
      </c>
    </row>
    <row r="28" spans="1:19" ht="18" x14ac:dyDescent="0.3">
      <c r="A28" s="305"/>
      <c r="B28" s="339" t="s">
        <v>139</v>
      </c>
      <c r="C28" s="340" t="str">
        <f>_xlfn.XLOOKUP(B28,$A$21:$S$21,$A$23:$S$23)</f>
        <v>East</v>
      </c>
      <c r="D28" s="341">
        <f>_xlfn.XLOOKUP(B28,$A$21:$S$21,$A$24:$S$24,"Not found in data")</f>
        <v>2000</v>
      </c>
      <c r="E28" s="612"/>
    </row>
    <row r="29" spans="1:19" ht="36" x14ac:dyDescent="0.3">
      <c r="A29" s="320" t="s">
        <v>411</v>
      </c>
      <c r="B29" s="339" t="s">
        <v>139</v>
      </c>
      <c r="C29" s="340" t="str">
        <f>_xlfn.XLOOKUP(B29,$A$21:$S$21,$A$23:$S$23,,,-1)</f>
        <v>South</v>
      </c>
      <c r="D29" s="341">
        <f>_xlfn.XLOOKUP(B29,A$21:S$21,$A$24:$S$24,"Not found in data")</f>
        <v>2000</v>
      </c>
      <c r="E29" s="612"/>
    </row>
    <row r="30" spans="1:19" ht="18" x14ac:dyDescent="0.3">
      <c r="A30" s="305"/>
      <c r="B30" s="339" t="s">
        <v>405</v>
      </c>
      <c r="C30" s="340" t="str">
        <f t="shared" ref="C30:C36" si="12">_xlfn.XLOOKUP(B30,$A$21:$S$21,$A$23:$S$23)</f>
        <v>South</v>
      </c>
      <c r="D30" s="341">
        <f t="shared" ref="D30" si="13">_xlfn.XLOOKUP(B30,$A$21:$S$21,$A$24:$S$24,"Not found in data")</f>
        <v>30000</v>
      </c>
      <c r="E30" s="612"/>
    </row>
    <row r="31" spans="1:19" ht="36" x14ac:dyDescent="0.3">
      <c r="A31" s="320" t="s">
        <v>411</v>
      </c>
      <c r="B31" s="339" t="s">
        <v>405</v>
      </c>
      <c r="C31" s="340" t="str">
        <f t="shared" ref="C31" si="14">_xlfn.XLOOKUP(B31,$A$21:$S$21,$A$23:$S$23,,,-1)</f>
        <v>West</v>
      </c>
      <c r="D31" s="341">
        <f t="shared" ref="D31" si="15">_xlfn.XLOOKUP(B31,A$21:S$21,$A$24:$S$24,"Not found in data")</f>
        <v>30000</v>
      </c>
      <c r="E31" s="612"/>
    </row>
    <row r="32" spans="1:19" ht="18" x14ac:dyDescent="0.3">
      <c r="A32" s="305"/>
      <c r="B32" s="339" t="s">
        <v>406</v>
      </c>
      <c r="C32" s="340" t="str">
        <f t="shared" si="12"/>
        <v>South</v>
      </c>
      <c r="D32" s="341">
        <f t="shared" ref="D32" si="16">_xlfn.XLOOKUP(B32,$A$21:$S$21,$A$24:$S$24,"Not found in data")</f>
        <v>20000</v>
      </c>
      <c r="E32" s="612"/>
    </row>
    <row r="33" spans="1:10" ht="18" x14ac:dyDescent="0.3">
      <c r="A33" s="305"/>
      <c r="B33" s="339" t="s">
        <v>400</v>
      </c>
      <c r="C33" s="340" t="str">
        <f t="shared" ref="C33" si="17">_xlfn.XLOOKUP(B33,$A$21:$S$21,$A$23:$S$23,,,-1)</f>
        <v>West</v>
      </c>
      <c r="D33" s="341">
        <f t="shared" ref="D33" si="18">_xlfn.XLOOKUP(B33,A$21:S$21,$A$24:$S$24,"Not found in data")</f>
        <v>16000</v>
      </c>
      <c r="E33" s="612"/>
    </row>
    <row r="34" spans="1:10" ht="36" x14ac:dyDescent="0.3">
      <c r="A34" s="305"/>
      <c r="B34" s="342" t="s">
        <v>413</v>
      </c>
      <c r="C34" s="340" t="str">
        <f>_xlfn.XLOOKUP(B34,$A$21:$S$21,$A$23:$S$23,"Not present in the data",,-1)</f>
        <v>Not present in the data</v>
      </c>
      <c r="D34" s="341" t="str">
        <f t="shared" ref="D34" si="19">_xlfn.XLOOKUP(B34,$A$21:$S$21,$A$24:$S$24,"Not found in data")</f>
        <v>Not found in data</v>
      </c>
      <c r="E34" s="612"/>
    </row>
    <row r="35" spans="1:10" ht="18" x14ac:dyDescent="0.3">
      <c r="A35" s="305"/>
      <c r="B35" s="342" t="s">
        <v>414</v>
      </c>
      <c r="C35" s="340" t="str">
        <f>_xlfn.XLOOKUP(B35,$A$21:$S$21,$A$23:$S$23,"Not Present in data",,-1)</f>
        <v>Not Present in data</v>
      </c>
      <c r="D35" s="341" t="str">
        <f t="shared" ref="D35" si="20">_xlfn.XLOOKUP(B35,A$21:S$21,$A$24:$S$24,"Not found in data")</f>
        <v>Not found in data</v>
      </c>
      <c r="E35" s="612"/>
    </row>
    <row r="36" spans="1:10" ht="18" x14ac:dyDescent="0.3">
      <c r="A36" s="305"/>
      <c r="B36" s="339" t="s">
        <v>401</v>
      </c>
      <c r="C36" s="340" t="str">
        <f t="shared" si="12"/>
        <v>North</v>
      </c>
      <c r="D36" s="341">
        <f t="shared" ref="D36" si="21">_xlfn.XLOOKUP(B36,$A$21:$S$21,$A$24:$S$24,"Not found in data")</f>
        <v>20000</v>
      </c>
      <c r="E36" s="612"/>
    </row>
    <row r="37" spans="1:10" ht="36" x14ac:dyDescent="0.3">
      <c r="A37" s="320" t="s">
        <v>411</v>
      </c>
      <c r="B37" s="339" t="s">
        <v>401</v>
      </c>
      <c r="C37" s="340" t="str">
        <f t="shared" ref="C37" si="22">_xlfn.XLOOKUP(B37,$A$21:$S$21,$A$23:$S$23,,,-1)</f>
        <v>West</v>
      </c>
      <c r="D37" s="341">
        <f t="shared" ref="D37" si="23">_xlfn.XLOOKUP(B37,A$21:S$21,$A$24:$S$24,"Not found in data")</f>
        <v>20000</v>
      </c>
      <c r="E37" s="612"/>
    </row>
    <row r="42" spans="1:10" ht="21" x14ac:dyDescent="0.3">
      <c r="A42" s="606">
        <v>3</v>
      </c>
      <c r="B42" s="343" t="s">
        <v>121</v>
      </c>
      <c r="C42" s="344" t="s">
        <v>243</v>
      </c>
      <c r="D42" s="344" t="s">
        <v>396</v>
      </c>
      <c r="E42" s="344" t="s">
        <v>403</v>
      </c>
    </row>
    <row r="43" spans="1:10" ht="18" x14ac:dyDescent="0.3">
      <c r="A43" s="606"/>
      <c r="B43" s="345" t="s">
        <v>139</v>
      </c>
      <c r="C43" s="332">
        <v>36533</v>
      </c>
      <c r="D43" s="332" t="s">
        <v>128</v>
      </c>
      <c r="E43" s="337">
        <v>2000</v>
      </c>
    </row>
    <row r="44" spans="1:10" ht="18" x14ac:dyDescent="0.3">
      <c r="A44" s="606"/>
      <c r="B44" s="345" t="s">
        <v>139</v>
      </c>
      <c r="C44" s="332">
        <v>36540</v>
      </c>
      <c r="D44" s="332" t="s">
        <v>126</v>
      </c>
      <c r="E44" s="337">
        <v>28000</v>
      </c>
    </row>
    <row r="45" spans="1:10" ht="18" x14ac:dyDescent="0.3">
      <c r="A45" s="606"/>
      <c r="B45" s="345" t="s">
        <v>399</v>
      </c>
      <c r="C45" s="332">
        <v>36526</v>
      </c>
      <c r="D45" s="332" t="s">
        <v>134</v>
      </c>
      <c r="E45" s="337">
        <v>14000</v>
      </c>
    </row>
    <row r="46" spans="1:10" ht="21" x14ac:dyDescent="0.3">
      <c r="A46" s="606"/>
      <c r="B46" s="345" t="s">
        <v>399</v>
      </c>
      <c r="C46" s="332">
        <v>36536</v>
      </c>
      <c r="D46" s="332" t="s">
        <v>132</v>
      </c>
      <c r="E46" s="337">
        <v>36000</v>
      </c>
      <c r="F46" s="305"/>
      <c r="G46" s="350" t="s">
        <v>121</v>
      </c>
      <c r="H46" s="350" t="s">
        <v>243</v>
      </c>
      <c r="I46" s="350" t="s">
        <v>396</v>
      </c>
      <c r="J46" s="613" t="s">
        <v>418</v>
      </c>
    </row>
    <row r="47" spans="1:10" ht="18" x14ac:dyDescent="0.3">
      <c r="A47" s="606"/>
      <c r="B47" s="346" t="s">
        <v>415</v>
      </c>
      <c r="C47" s="332">
        <v>36528</v>
      </c>
      <c r="D47" s="332" t="s">
        <v>134</v>
      </c>
      <c r="E47" s="337">
        <v>16000</v>
      </c>
      <c r="F47" s="305"/>
      <c r="G47" s="351" t="s">
        <v>397</v>
      </c>
      <c r="H47" s="340">
        <f>_xlfn.XLOOKUP(G47,$B$42:$B$58,$C$42:$C$58,"Not Found in data",2)</f>
        <v>36531</v>
      </c>
      <c r="I47" s="340" t="str">
        <f>_xlfn.XLOOKUP(G47,B43:B58,D43:D58,"Not present in data")</f>
        <v>East</v>
      </c>
      <c r="J47" s="614"/>
    </row>
    <row r="48" spans="1:10" ht="18" x14ac:dyDescent="0.3">
      <c r="A48" s="606"/>
      <c r="B48" s="346" t="s">
        <v>416</v>
      </c>
      <c r="C48" s="332">
        <v>36544</v>
      </c>
      <c r="D48" s="310" t="s">
        <v>128</v>
      </c>
      <c r="E48" s="337">
        <v>18000</v>
      </c>
      <c r="F48" s="305"/>
      <c r="G48" s="351" t="s">
        <v>72</v>
      </c>
      <c r="H48" s="340">
        <f t="shared" ref="H48" si="24">_xlfn.XLOOKUP(G48,$B$42:$B$58,$C$42:$C$58,"Not Found in data",2)</f>
        <v>36542</v>
      </c>
      <c r="I48" s="340" t="str">
        <f>_xlfn.XLOOKUP(G48,$B$43:$B$58,$D$43:$D$58,"Not found in data")</f>
        <v>East</v>
      </c>
      <c r="J48" s="614"/>
    </row>
    <row r="49" spans="1:11" ht="19.2" x14ac:dyDescent="0.3">
      <c r="A49" s="606"/>
      <c r="B49" s="345" t="s">
        <v>405</v>
      </c>
      <c r="C49" s="332">
        <v>36538</v>
      </c>
      <c r="D49" s="332" t="s">
        <v>126</v>
      </c>
      <c r="E49" s="347">
        <v>30000</v>
      </c>
      <c r="F49" s="352" t="s">
        <v>419</v>
      </c>
      <c r="G49" s="353" t="s">
        <v>400</v>
      </c>
      <c r="H49" s="340">
        <f>_xlfn.XLOOKUP("*"&amp;G49,$B$42:$B$58,$C$42:$C$58,"Not Found in data",2)</f>
        <v>36528</v>
      </c>
      <c r="I49" s="340" t="str">
        <f>_xlfn.XLOOKUP("*"&amp;G49&amp;"*",B45:B60,D45:D60,"Not present in data",2)</f>
        <v>North</v>
      </c>
      <c r="J49" s="614"/>
    </row>
    <row r="50" spans="1:11" ht="38.4" x14ac:dyDescent="0.3">
      <c r="A50" s="606"/>
      <c r="B50" s="345" t="s">
        <v>405</v>
      </c>
      <c r="C50" s="332">
        <v>36532</v>
      </c>
      <c r="D50" s="332" t="s">
        <v>132</v>
      </c>
      <c r="E50" s="347">
        <v>38000</v>
      </c>
      <c r="F50" s="352" t="s">
        <v>420</v>
      </c>
      <c r="G50" s="353" t="s">
        <v>400</v>
      </c>
      <c r="H50" s="340">
        <f>_xlfn.XLOOKUP("*"&amp;G50,$B$42:$B$58,$C$42:$C$58,"Not Found in data",2,-1)</f>
        <v>36544</v>
      </c>
      <c r="I50" s="340" t="str">
        <f>_xlfn.XLOOKUP("*"&amp;G50&amp;"*",B46:B61,D46:D61,"Not present in data",2,-1)</f>
        <v>East</v>
      </c>
      <c r="J50" s="614"/>
    </row>
    <row r="51" spans="1:11" ht="19.2" x14ac:dyDescent="0.3">
      <c r="A51" s="606"/>
      <c r="B51" s="345" t="s">
        <v>397</v>
      </c>
      <c r="C51" s="332">
        <v>36531</v>
      </c>
      <c r="D51" s="332" t="s">
        <v>128</v>
      </c>
      <c r="E51" s="347">
        <v>4000</v>
      </c>
      <c r="F51" s="352" t="s">
        <v>401</v>
      </c>
      <c r="G51" s="353" t="s">
        <v>421</v>
      </c>
      <c r="H51" s="340">
        <f>_xlfn.XLOOKUP(G51&amp;"*",$B$42:$B$58,$C$42:$C$58,"Not Found in data",2)</f>
        <v>36545</v>
      </c>
      <c r="I51" s="340" t="str">
        <f>_xlfn.XLOOKUP("*"&amp;G51&amp;"*",B47:B62,D47:D62,"Not present in data",2)</f>
        <v>North</v>
      </c>
      <c r="J51" s="614"/>
    </row>
    <row r="52" spans="1:11" ht="19.2" x14ac:dyDescent="0.3">
      <c r="A52" s="606"/>
      <c r="B52" s="345" t="s">
        <v>406</v>
      </c>
      <c r="C52" s="332">
        <v>36538</v>
      </c>
      <c r="D52" s="332" t="s">
        <v>126</v>
      </c>
      <c r="E52" s="347">
        <v>20000</v>
      </c>
      <c r="F52" s="352" t="s">
        <v>417</v>
      </c>
      <c r="G52" s="353" t="s">
        <v>421</v>
      </c>
      <c r="H52" s="340">
        <f>_xlfn.XLOOKUP(G52&amp;"*",$B$42:$B$58,$C$42:$C$58,"Not Found in data",2,-1)</f>
        <v>36529</v>
      </c>
      <c r="I52" s="340" t="str">
        <f>_xlfn.XLOOKUP("*"&amp;G52&amp;"*",B48:B63,D48:D63,"Not present in data",2,-1)</f>
        <v>West</v>
      </c>
      <c r="J52" s="615"/>
    </row>
    <row r="53" spans="1:11" ht="18" x14ac:dyDescent="0.3">
      <c r="A53" s="606"/>
      <c r="B53" s="345" t="s">
        <v>72</v>
      </c>
      <c r="C53" s="332">
        <v>36542</v>
      </c>
      <c r="D53" s="332" t="s">
        <v>128</v>
      </c>
      <c r="E53" s="337">
        <v>6000</v>
      </c>
    </row>
    <row r="54" spans="1:11" ht="18" x14ac:dyDescent="0.3">
      <c r="A54" s="606"/>
      <c r="B54" s="345" t="s">
        <v>72</v>
      </c>
      <c r="C54" s="332">
        <v>36535</v>
      </c>
      <c r="D54" s="332" t="s">
        <v>128</v>
      </c>
      <c r="E54" s="337">
        <v>8000</v>
      </c>
    </row>
    <row r="55" spans="1:11" ht="21" x14ac:dyDescent="0.3">
      <c r="A55" s="606"/>
      <c r="B55" s="346" t="s">
        <v>401</v>
      </c>
      <c r="C55" s="332">
        <v>36545</v>
      </c>
      <c r="D55" s="310" t="s">
        <v>134</v>
      </c>
      <c r="E55" s="337">
        <v>20000</v>
      </c>
      <c r="F55" s="354"/>
      <c r="G55" s="350" t="s">
        <v>121</v>
      </c>
      <c r="H55" s="350" t="s">
        <v>243</v>
      </c>
      <c r="I55" s="350" t="s">
        <v>396</v>
      </c>
      <c r="J55" s="350" t="s">
        <v>403</v>
      </c>
      <c r="K55" s="616" t="s">
        <v>437</v>
      </c>
    </row>
    <row r="56" spans="1:11" ht="19.8" x14ac:dyDescent="0.3">
      <c r="A56" s="606"/>
      <c r="B56" s="346" t="s">
        <v>417</v>
      </c>
      <c r="C56" s="332">
        <v>36529</v>
      </c>
      <c r="D56" s="332" t="s">
        <v>132</v>
      </c>
      <c r="E56" s="337">
        <v>42000</v>
      </c>
      <c r="F56" s="354"/>
      <c r="G56" s="351" t="s">
        <v>397</v>
      </c>
      <c r="H56" s="340" cm="1">
        <f t="array" ref="H56:J56">_xlfn.XLOOKUP("*"&amp;G56&amp;"*",$B$43:$B$58,$C$43:$E$58,"Not present in data",2,-1)</f>
        <v>36531</v>
      </c>
      <c r="I56" s="340" t="str">
        <v>East</v>
      </c>
      <c r="J56" s="355">
        <v>4000</v>
      </c>
      <c r="K56" s="616"/>
    </row>
    <row r="57" spans="1:11" ht="19.8" x14ac:dyDescent="0.3">
      <c r="A57" s="606"/>
      <c r="B57" s="348" t="s">
        <v>398</v>
      </c>
      <c r="C57" s="333">
        <v>36531</v>
      </c>
      <c r="D57" s="333" t="s">
        <v>128</v>
      </c>
      <c r="E57" s="337">
        <v>10000</v>
      </c>
      <c r="F57" s="354"/>
      <c r="G57" s="351" t="s">
        <v>72</v>
      </c>
      <c r="H57" s="340" cm="1">
        <f t="array" ref="H57:J57">_xlfn.XLOOKUP("*"&amp;G57&amp;"*",$B$43:$B$58,$C$43:$E$58,"Not present in data",2,-1)</f>
        <v>36535</v>
      </c>
      <c r="I57" s="340" t="str">
        <v>East</v>
      </c>
      <c r="J57" s="355">
        <v>8000</v>
      </c>
      <c r="K57" s="616"/>
    </row>
    <row r="58" spans="1:11" ht="19.2" x14ac:dyDescent="0.3">
      <c r="A58" s="606"/>
      <c r="B58" s="349" t="s">
        <v>402</v>
      </c>
      <c r="C58" s="334">
        <v>36535</v>
      </c>
      <c r="D58" s="334" t="s">
        <v>134</v>
      </c>
      <c r="E58" s="337">
        <v>25000</v>
      </c>
      <c r="F58" s="352" t="s">
        <v>419</v>
      </c>
      <c r="G58" s="353" t="s">
        <v>400</v>
      </c>
      <c r="H58" s="340" cm="1">
        <f t="array" ref="H58:J58">_xlfn.XLOOKUP("*"&amp;G58&amp;"*",$B$43:$B$58,$C$43:$E$58,"Not present in data",2)</f>
        <v>36528</v>
      </c>
      <c r="I58" s="340" t="str">
        <v>North</v>
      </c>
      <c r="J58" s="355">
        <v>16000</v>
      </c>
      <c r="K58" s="616"/>
    </row>
    <row r="59" spans="1:11" ht="38.4" x14ac:dyDescent="0.3">
      <c r="F59" s="352" t="s">
        <v>420</v>
      </c>
      <c r="G59" s="353" t="s">
        <v>400</v>
      </c>
      <c r="H59" s="340" cm="1">
        <f t="array" ref="H59:J59">_xlfn.XLOOKUP("*"&amp;G59&amp;"*",$B$43:$B$58,$C$43:$E$58,"Not present in data",2,-1)</f>
        <v>36544</v>
      </c>
      <c r="I59" s="340" t="str">
        <v>East</v>
      </c>
      <c r="J59" s="355">
        <v>18000</v>
      </c>
      <c r="K59" s="616"/>
    </row>
    <row r="60" spans="1:11" ht="19.2" x14ac:dyDescent="0.3">
      <c r="F60" s="352" t="s">
        <v>401</v>
      </c>
      <c r="G60" s="353" t="s">
        <v>421</v>
      </c>
      <c r="H60" s="340" cm="1">
        <f t="array" ref="H60:J60">_xlfn.XLOOKUP("*"&amp;G60&amp;"*",$B$43:$B$58,$C$43:$E$58,"Not present in data",2)</f>
        <v>36545</v>
      </c>
      <c r="I60" s="340" t="str">
        <v>North</v>
      </c>
      <c r="J60" s="355">
        <v>20000</v>
      </c>
      <c r="K60" s="616"/>
    </row>
    <row r="61" spans="1:11" ht="19.2" x14ac:dyDescent="0.3">
      <c r="F61" s="352" t="s">
        <v>417</v>
      </c>
      <c r="G61" s="353" t="s">
        <v>421</v>
      </c>
      <c r="H61" s="340" cm="1">
        <f t="array" ref="H61:J61">_xlfn.XLOOKUP("*"&amp;G61&amp;"*",$B$43:$B$58,$C$43:$E$58,"Not present in data",2,-1)</f>
        <v>36529</v>
      </c>
      <c r="I61" s="340" t="str">
        <v>West</v>
      </c>
      <c r="J61" s="355">
        <v>42000</v>
      </c>
      <c r="K61" s="616"/>
    </row>
    <row r="67" spans="1:10" ht="21" x14ac:dyDescent="0.3">
      <c r="A67" s="305"/>
      <c r="B67" s="305"/>
      <c r="C67" s="603" t="s">
        <v>422</v>
      </c>
      <c r="D67" s="604"/>
      <c r="E67" s="605"/>
      <c r="G67" s="362" t="s">
        <v>425</v>
      </c>
      <c r="H67" s="362" t="s">
        <v>426</v>
      </c>
      <c r="I67" s="363" t="s">
        <v>122</v>
      </c>
      <c r="J67" s="607" t="s">
        <v>427</v>
      </c>
    </row>
    <row r="68" spans="1:10" ht="21" x14ac:dyDescent="0.3">
      <c r="A68" s="305"/>
      <c r="B68" s="344" t="s">
        <v>121</v>
      </c>
      <c r="C68" s="356">
        <v>2018</v>
      </c>
      <c r="D68" s="356">
        <v>2019</v>
      </c>
      <c r="E68" s="356">
        <v>2020</v>
      </c>
      <c r="F68" s="357"/>
      <c r="G68" s="364" t="s">
        <v>399</v>
      </c>
      <c r="H68" s="364">
        <v>2018</v>
      </c>
      <c r="I68" s="365" cm="1">
        <f t="array" ref="I68">_xlfn.XLOOKUP(G68,$B$68:$B$82,_xlfn.XLOOKUP(H68,$C$68:$E$68,$C$68:$E$82,"Not present",,-1))</f>
        <v>40000</v>
      </c>
      <c r="J68" s="607"/>
    </row>
    <row r="69" spans="1:10" ht="21" x14ac:dyDescent="0.3">
      <c r="A69" s="606">
        <v>4</v>
      </c>
      <c r="B69" s="345" t="s">
        <v>139</v>
      </c>
      <c r="C69" s="337">
        <v>36000</v>
      </c>
      <c r="D69" s="337">
        <v>20000</v>
      </c>
      <c r="E69" s="337">
        <v>28000</v>
      </c>
      <c r="F69" s="358"/>
      <c r="G69" s="364" t="s">
        <v>72</v>
      </c>
      <c r="H69" s="364">
        <v>2019</v>
      </c>
      <c r="I69" s="365" cm="1">
        <f t="array" ref="I69">_xlfn.XLOOKUP(G69,$B$68:$B$82,_xlfn.XLOOKUP(H69,$C$68:$E$68,$C$68:$E$82,"Not present",,-1))</f>
        <v>57000</v>
      </c>
      <c r="J69" s="607"/>
    </row>
    <row r="70" spans="1:10" ht="18" x14ac:dyDescent="0.3">
      <c r="A70" s="606"/>
      <c r="B70" s="345" t="s">
        <v>139</v>
      </c>
      <c r="C70" s="337">
        <v>38000</v>
      </c>
      <c r="D70" s="337">
        <v>30000</v>
      </c>
      <c r="E70" s="337">
        <v>14000</v>
      </c>
      <c r="F70" s="360"/>
      <c r="G70" s="366" t="s">
        <v>72</v>
      </c>
      <c r="H70" s="305">
        <v>2020</v>
      </c>
      <c r="I70" s="365" cm="1">
        <f t="array" ref="I70">_xlfn.XLOOKUP(G70,$B$68:$B$82,_xlfn.XLOOKUP(H70,$C$68:$E$68,$C$68:$E$82,"Not present",,-1))</f>
        <v>8000</v>
      </c>
      <c r="J70" s="607"/>
    </row>
    <row r="71" spans="1:10" ht="18" x14ac:dyDescent="0.3">
      <c r="A71" s="606"/>
      <c r="B71" s="346" t="s">
        <v>399</v>
      </c>
      <c r="C71" s="337">
        <v>40000</v>
      </c>
      <c r="D71" s="337">
        <v>10000</v>
      </c>
      <c r="E71" s="337">
        <v>36000</v>
      </c>
      <c r="F71" s="360"/>
      <c r="G71" s="339" t="s">
        <v>398</v>
      </c>
      <c r="H71" s="339">
        <v>2019</v>
      </c>
      <c r="I71" s="365" cm="1">
        <f t="array" ref="I71">_xlfn.XLOOKUP(G71,$B$68:$B$82,_xlfn.XLOOKUP(H71,$C$68:$E$68,$C$68:$E$82,"Not present",,-1))</f>
        <v>78000</v>
      </c>
      <c r="J71" s="607"/>
    </row>
    <row r="72" spans="1:10" ht="18" x14ac:dyDescent="0.3">
      <c r="A72" s="606"/>
      <c r="B72" s="346" t="s">
        <v>399</v>
      </c>
      <c r="C72" s="337">
        <v>50000</v>
      </c>
      <c r="D72" s="337">
        <v>50000</v>
      </c>
      <c r="E72" s="337">
        <v>16000</v>
      </c>
      <c r="F72" s="360"/>
      <c r="G72" s="339" t="s">
        <v>406</v>
      </c>
      <c r="H72" s="339">
        <v>2018</v>
      </c>
      <c r="I72" s="365" cm="1">
        <f t="array" ref="I72">_xlfn.XLOOKUP(G72,$B$68:$B$82,_xlfn.XLOOKUP(H72,$C$68:$E$68,$C$68:$E$82,"Not present",,-1))</f>
        <v>35000</v>
      </c>
      <c r="J72" s="607"/>
    </row>
    <row r="73" spans="1:10" ht="18" x14ac:dyDescent="0.3">
      <c r="A73" s="606"/>
      <c r="B73" s="345" t="s">
        <v>423</v>
      </c>
      <c r="C73" s="337">
        <v>20000</v>
      </c>
      <c r="D73" s="337">
        <v>60000</v>
      </c>
      <c r="E73" s="337">
        <v>18000</v>
      </c>
      <c r="F73" s="360"/>
      <c r="G73" s="339" t="s">
        <v>401</v>
      </c>
      <c r="H73" s="339">
        <v>2020</v>
      </c>
      <c r="I73" s="365" cm="1">
        <f t="array" ref="I73">_xlfn.XLOOKUP(G73,$B$68:$B$82,_xlfn.XLOOKUP(H73,$C$68:$E$68,$C$68:$E$82,"Not present",,-1))</f>
        <v>42000</v>
      </c>
      <c r="J73" s="607"/>
    </row>
    <row r="74" spans="1:10" ht="36" x14ac:dyDescent="0.3">
      <c r="A74" s="606"/>
      <c r="B74" s="345" t="s">
        <v>424</v>
      </c>
      <c r="C74" s="337">
        <v>32000</v>
      </c>
      <c r="D74" s="337">
        <v>70000</v>
      </c>
      <c r="E74" s="337">
        <v>30000</v>
      </c>
      <c r="F74" s="360"/>
      <c r="G74" s="339" t="s">
        <v>405</v>
      </c>
      <c r="H74" s="339">
        <v>2019</v>
      </c>
      <c r="I74" s="365" cm="1">
        <f t="array" ref="I74">_xlfn.XLOOKUP(G74,$B$68:$B$82,_xlfn.XLOOKUP(H74,$C$68:$E$68,$C$68:$E$82,"Not present",,-1))</f>
        <v>80000</v>
      </c>
      <c r="J74" s="607"/>
    </row>
    <row r="75" spans="1:10" ht="18" x14ac:dyDescent="0.3">
      <c r="A75" s="606"/>
      <c r="B75" s="346" t="s">
        <v>405</v>
      </c>
      <c r="C75" s="337">
        <v>89000</v>
      </c>
      <c r="D75" s="337">
        <v>80000</v>
      </c>
      <c r="E75" s="337">
        <v>38000</v>
      </c>
      <c r="F75" s="360"/>
      <c r="G75" s="360"/>
      <c r="H75" s="360"/>
    </row>
    <row r="76" spans="1:10" ht="18" x14ac:dyDescent="0.3">
      <c r="A76" s="606"/>
      <c r="B76" s="346" t="s">
        <v>405</v>
      </c>
      <c r="C76" s="337">
        <v>50000</v>
      </c>
      <c r="D76" s="337">
        <v>90000</v>
      </c>
      <c r="E76" s="337">
        <v>4000</v>
      </c>
      <c r="F76" s="360"/>
      <c r="G76" s="360"/>
      <c r="H76" s="360"/>
    </row>
    <row r="77" spans="1:10" ht="18" x14ac:dyDescent="0.3">
      <c r="A77" s="606"/>
      <c r="B77" s="345" t="s">
        <v>397</v>
      </c>
      <c r="C77" s="337">
        <v>2000</v>
      </c>
      <c r="D77" s="337">
        <v>10000</v>
      </c>
      <c r="E77" s="337">
        <v>20000</v>
      </c>
      <c r="F77" s="360"/>
      <c r="G77" s="360"/>
      <c r="H77" s="360"/>
    </row>
    <row r="78" spans="1:10" ht="18" x14ac:dyDescent="0.3">
      <c r="A78" s="606"/>
      <c r="B78" s="346" t="s">
        <v>406</v>
      </c>
      <c r="C78" s="337">
        <v>35000</v>
      </c>
      <c r="D78" s="337">
        <v>2000</v>
      </c>
      <c r="E78" s="337">
        <v>6000</v>
      </c>
      <c r="F78" s="360"/>
      <c r="G78" s="360"/>
      <c r="H78" s="360"/>
    </row>
    <row r="79" spans="1:10" ht="18" x14ac:dyDescent="0.3">
      <c r="A79" s="606"/>
      <c r="B79" s="346" t="s">
        <v>72</v>
      </c>
      <c r="C79" s="337">
        <v>23000</v>
      </c>
      <c r="D79" s="337">
        <v>57000</v>
      </c>
      <c r="E79" s="337">
        <v>8000</v>
      </c>
      <c r="F79" s="360"/>
      <c r="G79" s="360"/>
      <c r="H79" s="360"/>
    </row>
    <row r="80" spans="1:10" ht="18" x14ac:dyDescent="0.3">
      <c r="A80" s="606"/>
      <c r="B80" s="346" t="s">
        <v>72</v>
      </c>
      <c r="C80" s="337">
        <v>56000</v>
      </c>
      <c r="D80" s="337">
        <v>40000</v>
      </c>
      <c r="E80" s="337">
        <v>20000</v>
      </c>
      <c r="F80" s="360"/>
      <c r="G80" s="360"/>
      <c r="H80" s="360"/>
    </row>
    <row r="81" spans="1:8" ht="18" x14ac:dyDescent="0.3">
      <c r="A81" s="606"/>
      <c r="B81" s="345" t="s">
        <v>401</v>
      </c>
      <c r="C81" s="337">
        <v>4000</v>
      </c>
      <c r="D81" s="337">
        <v>32000</v>
      </c>
      <c r="E81" s="337">
        <v>42000</v>
      </c>
      <c r="F81" s="360"/>
      <c r="G81" s="360"/>
      <c r="H81" s="360"/>
    </row>
    <row r="82" spans="1:8" ht="18" x14ac:dyDescent="0.3">
      <c r="A82" s="606"/>
      <c r="B82" s="345" t="s">
        <v>398</v>
      </c>
      <c r="C82" s="337">
        <v>36535</v>
      </c>
      <c r="D82" s="337">
        <v>78000</v>
      </c>
      <c r="E82" s="337">
        <v>25000</v>
      </c>
      <c r="F82" s="360"/>
      <c r="G82" s="360"/>
      <c r="H82" s="360"/>
    </row>
    <row r="83" spans="1:8" ht="18" x14ac:dyDescent="0.3">
      <c r="D83" s="361"/>
      <c r="E83" s="359"/>
      <c r="F83" s="360"/>
      <c r="G83" s="360"/>
      <c r="H83" s="360"/>
    </row>
  </sheetData>
  <mergeCells count="10">
    <mergeCell ref="C67:E67"/>
    <mergeCell ref="A69:A82"/>
    <mergeCell ref="J67:J74"/>
    <mergeCell ref="A2:A19"/>
    <mergeCell ref="J6:J15"/>
    <mergeCell ref="A25:Q25"/>
    <mergeCell ref="E27:E37"/>
    <mergeCell ref="A42:A58"/>
    <mergeCell ref="J46:J52"/>
    <mergeCell ref="K55:K61"/>
  </mergeCells>
  <pageMargins left="0.7" right="0.7" top="0.75" bottom="0.75" header="0.3" footer="0.3"/>
  <ignoredErrors>
    <ignoredError sqref="I8 I10 I12 I14 I50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521CD-765E-40B8-9285-A8DBFA6D8FA1}">
  <dimension ref="B2:M18"/>
  <sheetViews>
    <sheetView topLeftCell="H1" workbookViewId="0">
      <selection activeCell="G16" sqref="G16"/>
    </sheetView>
  </sheetViews>
  <sheetFormatPr defaultRowHeight="14.4" x14ac:dyDescent="0.3"/>
  <cols>
    <col min="2" max="2" width="13.5546875" bestFit="1" customWidth="1"/>
    <col min="3" max="3" width="10" customWidth="1"/>
    <col min="4" max="4" width="26.88671875" customWidth="1"/>
    <col min="5" max="5" width="13.33203125" customWidth="1"/>
    <col min="7" max="7" width="42.77734375" customWidth="1"/>
    <col min="8" max="8" width="15.77734375" customWidth="1"/>
    <col min="9" max="9" width="24" customWidth="1"/>
    <col min="10" max="10" width="13.5546875" customWidth="1"/>
    <col min="11" max="11" width="21.21875" customWidth="1"/>
    <col min="12" max="12" width="10.6640625" customWidth="1"/>
  </cols>
  <sheetData>
    <row r="2" spans="2:13" ht="18" x14ac:dyDescent="0.3">
      <c r="B2" s="406" t="s">
        <v>243</v>
      </c>
      <c r="C2" s="406" t="s">
        <v>396</v>
      </c>
      <c r="D2" s="406" t="s">
        <v>121</v>
      </c>
      <c r="E2" s="406" t="s">
        <v>403</v>
      </c>
      <c r="G2" s="400" t="s">
        <v>404</v>
      </c>
      <c r="H2" s="408" t="s">
        <v>397</v>
      </c>
      <c r="I2" s="408" t="s">
        <v>401</v>
      </c>
      <c r="J2" s="408" t="s">
        <v>405</v>
      </c>
      <c r="K2" s="408" t="s">
        <v>402</v>
      </c>
      <c r="L2" s="408" t="s">
        <v>72</v>
      </c>
      <c r="M2" s="409"/>
    </row>
    <row r="3" spans="2:13" ht="18" x14ac:dyDescent="0.3">
      <c r="B3" s="410">
        <v>36533</v>
      </c>
      <c r="C3" s="410" t="s">
        <v>128</v>
      </c>
      <c r="D3" s="411" t="s">
        <v>139</v>
      </c>
      <c r="E3" s="412">
        <v>2000</v>
      </c>
      <c r="G3" s="413"/>
      <c r="H3" s="413"/>
      <c r="I3" s="413"/>
      <c r="J3" s="413"/>
      <c r="K3" s="413"/>
      <c r="L3" s="413"/>
      <c r="M3" s="409"/>
    </row>
    <row r="4" spans="2:13" ht="18" x14ac:dyDescent="0.3">
      <c r="B4" s="410">
        <v>36531</v>
      </c>
      <c r="C4" s="410" t="s">
        <v>128</v>
      </c>
      <c r="D4" s="414" t="s">
        <v>397</v>
      </c>
      <c r="E4" s="412">
        <v>4000</v>
      </c>
      <c r="G4" s="400" t="s">
        <v>438</v>
      </c>
      <c r="H4" s="413">
        <f>MATCH(H2,D3:D16,0)</f>
        <v>2</v>
      </c>
      <c r="I4" s="413">
        <f>MATCH(I2,D3:D16,1)</f>
        <v>7</v>
      </c>
      <c r="J4" s="413">
        <f>MATCH(J2,D3:D16,0)</f>
        <v>10</v>
      </c>
      <c r="K4" s="413">
        <f>MATCH(J2,D3:D16,0)</f>
        <v>10</v>
      </c>
      <c r="L4" s="413">
        <f>MATCH(L2,D3:D16,1)</f>
        <v>3</v>
      </c>
      <c r="M4" s="409"/>
    </row>
    <row r="5" spans="2:13" ht="18" x14ac:dyDescent="0.3">
      <c r="B5" s="410">
        <v>36542</v>
      </c>
      <c r="C5" s="410" t="s">
        <v>132</v>
      </c>
      <c r="D5" s="414" t="s">
        <v>72</v>
      </c>
      <c r="E5" s="412">
        <v>6000</v>
      </c>
      <c r="G5" s="415"/>
      <c r="H5" s="415"/>
      <c r="I5" s="415"/>
      <c r="J5" s="415"/>
      <c r="K5" s="415"/>
      <c r="L5" s="415"/>
      <c r="M5" s="409"/>
    </row>
    <row r="6" spans="2:13" ht="21" x14ac:dyDescent="0.3">
      <c r="B6" s="410">
        <v>36531</v>
      </c>
      <c r="C6" s="410" t="s">
        <v>128</v>
      </c>
      <c r="D6" s="416" t="s">
        <v>398</v>
      </c>
      <c r="E6" s="412">
        <v>10000</v>
      </c>
      <c r="G6" s="415"/>
      <c r="H6" s="415"/>
      <c r="I6" s="415"/>
      <c r="J6" s="415"/>
      <c r="K6" s="415"/>
      <c r="L6" s="415"/>
      <c r="M6" s="409"/>
    </row>
    <row r="7" spans="2:13" ht="21" x14ac:dyDescent="0.3">
      <c r="B7" s="410">
        <v>36526</v>
      </c>
      <c r="C7" s="410" t="s">
        <v>134</v>
      </c>
      <c r="D7" s="414" t="s">
        <v>399</v>
      </c>
      <c r="E7" s="412">
        <v>14000</v>
      </c>
      <c r="G7" s="417" t="s">
        <v>439</v>
      </c>
      <c r="H7" s="418">
        <v>2</v>
      </c>
      <c r="I7" s="418">
        <v>4</v>
      </c>
      <c r="J7" s="418">
        <v>1</v>
      </c>
      <c r="K7" s="418">
        <v>3</v>
      </c>
      <c r="L7" s="415"/>
      <c r="M7" s="409"/>
    </row>
    <row r="8" spans="2:13" ht="21" x14ac:dyDescent="0.3">
      <c r="B8" s="410">
        <v>36528</v>
      </c>
      <c r="C8" s="410" t="s">
        <v>134</v>
      </c>
      <c r="D8" s="411" t="s">
        <v>400</v>
      </c>
      <c r="E8" s="412">
        <v>16000</v>
      </c>
      <c r="G8" s="417" t="s">
        <v>440</v>
      </c>
      <c r="H8" s="418">
        <v>3</v>
      </c>
      <c r="I8" s="418">
        <v>9</v>
      </c>
      <c r="J8" s="418">
        <v>6</v>
      </c>
      <c r="K8" s="418">
        <v>5</v>
      </c>
      <c r="L8" s="415"/>
      <c r="M8" s="409"/>
    </row>
    <row r="9" spans="2:13" ht="18" x14ac:dyDescent="0.3">
      <c r="B9" s="410">
        <v>36545</v>
      </c>
      <c r="C9" s="411" t="s">
        <v>134</v>
      </c>
      <c r="D9" s="414" t="s">
        <v>401</v>
      </c>
      <c r="E9" s="412">
        <v>20000</v>
      </c>
      <c r="G9" s="413"/>
      <c r="H9" s="413"/>
      <c r="I9" s="413"/>
      <c r="J9" s="413"/>
      <c r="K9" s="413"/>
      <c r="L9" s="415"/>
      <c r="M9" s="409"/>
    </row>
    <row r="10" spans="2:13" ht="18" x14ac:dyDescent="0.3">
      <c r="B10" s="410">
        <v>36535</v>
      </c>
      <c r="C10" s="410" t="s">
        <v>134</v>
      </c>
      <c r="D10" s="414" t="s">
        <v>402</v>
      </c>
      <c r="E10" s="412">
        <v>25000</v>
      </c>
      <c r="G10" s="400" t="s">
        <v>441</v>
      </c>
      <c r="H10" s="419" cm="1">
        <f t="array" ref="H10">INDEX(B2:B16,H7)</f>
        <v>36533</v>
      </c>
      <c r="I10" s="419" cm="1">
        <f t="array" ref="I10">INDEX(B2:B16,I7)</f>
        <v>36542</v>
      </c>
      <c r="J10" s="419" t="str" cm="1">
        <f t="array" ref="J10">INDEX(B2:B16,J7)</f>
        <v>Date</v>
      </c>
      <c r="K10" s="419" cm="1">
        <f t="array" ref="K10">INDEX(E2:E16,K7)</f>
        <v>4000</v>
      </c>
      <c r="L10" s="415"/>
      <c r="M10" s="409"/>
    </row>
    <row r="11" spans="2:13" ht="18" x14ac:dyDescent="0.3">
      <c r="B11" s="410">
        <v>36540</v>
      </c>
      <c r="C11" s="410" t="s">
        <v>126</v>
      </c>
      <c r="D11" s="411" t="s">
        <v>139</v>
      </c>
      <c r="E11" s="412">
        <v>28000</v>
      </c>
      <c r="G11" s="400" t="s">
        <v>441</v>
      </c>
      <c r="H11" s="413" t="str" cm="1">
        <f t="array" ref="H11">INDEX($C$3:$C$16,H8)</f>
        <v>West</v>
      </c>
      <c r="I11" s="413" t="str" cm="1">
        <f t="array" ref="I11">INDEX($C$3:$C$16,I8)</f>
        <v>South</v>
      </c>
      <c r="J11" s="413" t="str" cm="1">
        <f t="array" ref="J11">INDEX($C$3:$C$16,J8)</f>
        <v>North</v>
      </c>
      <c r="K11" s="413" t="str" cm="1">
        <f t="array" ref="K11">INDEX($C$3:$C$16,K8)</f>
        <v>North</v>
      </c>
      <c r="L11" s="415"/>
      <c r="M11" s="409"/>
    </row>
    <row r="12" spans="2:13" ht="18" x14ac:dyDescent="0.3">
      <c r="B12" s="410">
        <v>36538</v>
      </c>
      <c r="C12" s="410" t="s">
        <v>126</v>
      </c>
      <c r="D12" s="414" t="s">
        <v>405</v>
      </c>
      <c r="E12" s="412">
        <v>30000</v>
      </c>
      <c r="G12" s="400" t="s">
        <v>442</v>
      </c>
      <c r="H12" s="413" t="str" cm="1">
        <f t="array" ref="H12">INDEX(B3:E16,H8,H7)</f>
        <v>West</v>
      </c>
      <c r="I12" s="420" cm="1">
        <f t="array" ref="I12">INDEX($B$3:$E$16,I8,I7)</f>
        <v>28000</v>
      </c>
      <c r="J12" s="420" cm="1">
        <f t="array" ref="J12">INDEX($B$3:$E$16,J8,J7)</f>
        <v>36528</v>
      </c>
      <c r="K12" s="420" t="str" cm="1">
        <f t="array" ref="K12">INDEX($B$3:$E$16,K8,K7)</f>
        <v>Beard trimmer</v>
      </c>
      <c r="L12" s="415"/>
      <c r="M12" s="409"/>
    </row>
    <row r="13" spans="2:13" ht="18" x14ac:dyDescent="0.3">
      <c r="B13" s="410">
        <v>36538</v>
      </c>
      <c r="C13" s="410" t="s">
        <v>126</v>
      </c>
      <c r="D13" s="411" t="s">
        <v>406</v>
      </c>
      <c r="E13" s="412">
        <v>20000</v>
      </c>
      <c r="G13" s="407"/>
      <c r="H13" s="407"/>
      <c r="I13" s="407"/>
      <c r="J13" s="407"/>
      <c r="K13" s="407"/>
      <c r="L13" s="407"/>
      <c r="M13" s="409"/>
    </row>
    <row r="14" spans="2:13" ht="18" x14ac:dyDescent="0.3">
      <c r="B14" s="410">
        <v>36536</v>
      </c>
      <c r="C14" s="410" t="s">
        <v>132</v>
      </c>
      <c r="D14" s="411" t="s">
        <v>399</v>
      </c>
      <c r="E14" s="412">
        <v>36000</v>
      </c>
      <c r="G14" s="407"/>
      <c r="H14" s="407"/>
      <c r="I14" s="407"/>
      <c r="J14" s="407"/>
      <c r="K14" s="407"/>
      <c r="L14" s="407"/>
      <c r="M14" s="409"/>
    </row>
    <row r="15" spans="2:13" ht="21" x14ac:dyDescent="0.3">
      <c r="B15" s="410">
        <v>36532</v>
      </c>
      <c r="C15" s="410" t="s">
        <v>132</v>
      </c>
      <c r="D15" s="411" t="s">
        <v>405</v>
      </c>
      <c r="E15" s="412">
        <v>38000</v>
      </c>
      <c r="G15" s="421" t="str">
        <f>INDEX(C3:C16,MATCH(H2,D3:D15,0))</f>
        <v>East</v>
      </c>
      <c r="H15" s="617" t="s">
        <v>443</v>
      </c>
      <c r="I15" s="407"/>
      <c r="J15" s="407"/>
      <c r="K15" s="407"/>
      <c r="L15" s="407"/>
      <c r="M15" s="409"/>
    </row>
    <row r="16" spans="2:13" ht="21" x14ac:dyDescent="0.3">
      <c r="B16" s="410">
        <v>36547</v>
      </c>
      <c r="C16" s="411" t="s">
        <v>132</v>
      </c>
      <c r="D16" s="414" t="s">
        <v>72</v>
      </c>
      <c r="E16" s="412">
        <v>40000</v>
      </c>
      <c r="G16" s="421" t="str">
        <f>INDEX(C3:C16,MATCH(D6,D3:D16,0))</f>
        <v>East</v>
      </c>
      <c r="H16" s="618"/>
      <c r="I16" s="407"/>
      <c r="J16" s="407"/>
      <c r="K16" s="407"/>
      <c r="L16" s="407"/>
      <c r="M16" s="409"/>
    </row>
    <row r="17" spans="7:13" ht="21" x14ac:dyDescent="0.3">
      <c r="G17" s="421" t="str">
        <f>INDEX($C$3:$C$16, MATCH(J2, $D$3:$D$16, 0))</f>
        <v>South</v>
      </c>
      <c r="H17" s="618"/>
      <c r="I17" s="422"/>
      <c r="J17" s="422"/>
      <c r="K17" s="422"/>
      <c r="L17" s="422"/>
      <c r="M17" s="399"/>
    </row>
    <row r="18" spans="7:13" ht="21" x14ac:dyDescent="0.3">
      <c r="G18" s="421" t="str">
        <f>INDEX($C$3:$C$16, MATCH(K2, $D$3:$D$16, 0))</f>
        <v>North</v>
      </c>
      <c r="H18" s="619"/>
      <c r="I18" s="422"/>
      <c r="J18" s="422"/>
      <c r="K18" s="422"/>
      <c r="L18" s="422"/>
      <c r="M18" s="399"/>
    </row>
  </sheetData>
  <mergeCells count="1">
    <mergeCell ref="H15:H18"/>
  </mergeCells>
  <dataValidations count="1">
    <dataValidation type="list" allowBlank="1" showErrorMessage="1" sqref="L2" xr:uid="{0186CE42-ADC9-4858-A35D-F9D6871D32FA}">
      <formula1>$D$3:$D$16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DC0A-C9A3-4F87-8446-63CCC93A49EA}">
  <dimension ref="A1:M21"/>
  <sheetViews>
    <sheetView workbookViewId="0">
      <selection activeCell="J19" sqref="J19"/>
    </sheetView>
  </sheetViews>
  <sheetFormatPr defaultRowHeight="14.4" x14ac:dyDescent="0.3"/>
  <cols>
    <col min="1" max="1" width="25.77734375" bestFit="1" customWidth="1"/>
    <col min="2" max="2" width="11.77734375" bestFit="1" customWidth="1"/>
    <col min="3" max="3" width="15.77734375" bestFit="1" customWidth="1"/>
    <col min="4" max="4" width="11.33203125" bestFit="1" customWidth="1"/>
    <col min="8" max="8" width="18.109375" customWidth="1"/>
    <col min="10" max="10" width="16.44140625" customWidth="1"/>
  </cols>
  <sheetData>
    <row r="1" spans="1:13" ht="19.2" thickTop="1" thickBot="1" x14ac:dyDescent="0.4">
      <c r="A1" s="424" t="s">
        <v>121</v>
      </c>
      <c r="B1" s="424" t="s">
        <v>122</v>
      </c>
      <c r="C1" s="424" t="s">
        <v>123</v>
      </c>
      <c r="D1" s="425" t="s">
        <v>124</v>
      </c>
      <c r="E1" s="437"/>
      <c r="F1" s="441"/>
      <c r="G1" s="444"/>
      <c r="H1" s="442" t="s">
        <v>134</v>
      </c>
      <c r="I1" s="402"/>
      <c r="J1" s="620" t="s">
        <v>444</v>
      </c>
      <c r="K1" s="403"/>
      <c r="L1" s="403"/>
      <c r="M1" s="403"/>
    </row>
    <row r="2" spans="1:13" ht="19.2" thickTop="1" thickBot="1" x14ac:dyDescent="0.4">
      <c r="A2" s="426" t="s">
        <v>125</v>
      </c>
      <c r="B2" s="427">
        <v>5000</v>
      </c>
      <c r="C2" s="428">
        <v>45359</v>
      </c>
      <c r="D2" s="429" t="s">
        <v>126</v>
      </c>
      <c r="F2" s="438">
        <v>60</v>
      </c>
      <c r="G2" s="443"/>
      <c r="H2" s="423"/>
      <c r="I2" s="402"/>
      <c r="J2" s="620"/>
      <c r="K2" s="403"/>
      <c r="L2" s="403"/>
      <c r="M2" s="403"/>
    </row>
    <row r="3" spans="1:13" ht="19.2" thickTop="1" thickBot="1" x14ac:dyDescent="0.4">
      <c r="A3" s="426" t="s">
        <v>127</v>
      </c>
      <c r="B3" s="427">
        <v>6000</v>
      </c>
      <c r="C3" s="428">
        <v>45297</v>
      </c>
      <c r="D3" s="429" t="s">
        <v>128</v>
      </c>
      <c r="F3" s="438">
        <v>90</v>
      </c>
      <c r="G3" s="436"/>
      <c r="H3" s="423" t="s">
        <v>445</v>
      </c>
      <c r="I3" s="402" t="s">
        <v>128</v>
      </c>
      <c r="J3" s="620"/>
      <c r="K3" s="403"/>
      <c r="L3" s="403"/>
      <c r="M3" s="403"/>
    </row>
    <row r="4" spans="1:13" ht="19.2" thickTop="1" thickBot="1" x14ac:dyDescent="0.4">
      <c r="A4" s="426" t="s">
        <v>129</v>
      </c>
      <c r="B4" s="427">
        <v>7000</v>
      </c>
      <c r="C4" s="428">
        <v>45308</v>
      </c>
      <c r="D4" s="429" t="s">
        <v>128</v>
      </c>
      <c r="F4" s="439">
        <v>50</v>
      </c>
      <c r="G4" s="436"/>
      <c r="H4" s="423"/>
      <c r="I4" s="402"/>
      <c r="J4" s="620"/>
      <c r="K4" s="403"/>
      <c r="L4" s="403"/>
      <c r="M4" s="403"/>
    </row>
    <row r="5" spans="1:13" ht="19.2" thickTop="1" thickBot="1" x14ac:dyDescent="0.4">
      <c r="A5" s="426" t="s">
        <v>130</v>
      </c>
      <c r="B5" s="427">
        <v>8000</v>
      </c>
      <c r="C5" s="428">
        <v>45392</v>
      </c>
      <c r="D5" s="429" t="s">
        <v>128</v>
      </c>
      <c r="F5" s="440"/>
      <c r="G5" s="445"/>
      <c r="H5" s="423" t="s">
        <v>446</v>
      </c>
      <c r="I5" s="402"/>
      <c r="J5" s="620"/>
      <c r="K5" s="403"/>
      <c r="L5" s="403"/>
      <c r="M5" s="403"/>
    </row>
    <row r="6" spans="1:13" ht="17.399999999999999" thickTop="1" x14ac:dyDescent="0.3">
      <c r="A6" s="426" t="s">
        <v>131</v>
      </c>
      <c r="B6" s="427">
        <v>9000</v>
      </c>
      <c r="C6" s="428">
        <v>45297</v>
      </c>
      <c r="D6" s="429" t="s">
        <v>132</v>
      </c>
      <c r="G6" s="446"/>
    </row>
    <row r="7" spans="1:13" ht="16.8" x14ac:dyDescent="0.3">
      <c r="A7" s="426" t="s">
        <v>133</v>
      </c>
      <c r="B7" s="427">
        <v>10000</v>
      </c>
      <c r="C7" s="428">
        <v>45292</v>
      </c>
      <c r="D7" s="429" t="s">
        <v>134</v>
      </c>
    </row>
    <row r="8" spans="1:13" ht="17.399999999999999" thickBot="1" x14ac:dyDescent="0.35">
      <c r="A8" s="426" t="s">
        <v>129</v>
      </c>
      <c r="B8" s="427">
        <v>10000</v>
      </c>
      <c r="C8" s="428">
        <v>45313</v>
      </c>
      <c r="D8" s="429" t="s">
        <v>126</v>
      </c>
    </row>
    <row r="9" spans="1:13" ht="19.2" thickTop="1" thickBot="1" x14ac:dyDescent="0.4">
      <c r="A9" s="426" t="s">
        <v>135</v>
      </c>
      <c r="B9" s="427">
        <v>15000</v>
      </c>
      <c r="C9" s="428">
        <v>45415</v>
      </c>
      <c r="D9" s="429" t="s">
        <v>134</v>
      </c>
      <c r="F9" s="402"/>
      <c r="G9" s="402"/>
      <c r="H9" s="402"/>
      <c r="I9" s="402"/>
      <c r="J9" s="621" t="s">
        <v>447</v>
      </c>
      <c r="K9" s="404"/>
      <c r="L9" s="405"/>
      <c r="M9" s="401"/>
    </row>
    <row r="10" spans="1:13" ht="19.2" thickTop="1" thickBot="1" x14ac:dyDescent="0.4">
      <c r="A10" s="426" t="s">
        <v>136</v>
      </c>
      <c r="B10" s="427">
        <v>18000</v>
      </c>
      <c r="C10" s="428">
        <v>45310</v>
      </c>
      <c r="D10" s="429" t="s">
        <v>134</v>
      </c>
      <c r="F10" s="402"/>
      <c r="G10" s="402"/>
      <c r="H10" s="402"/>
      <c r="I10" s="402"/>
      <c r="J10" s="621"/>
      <c r="K10" s="404"/>
      <c r="L10" s="405"/>
      <c r="M10" s="401"/>
    </row>
    <row r="11" spans="1:13" ht="19.2" thickTop="1" thickBot="1" x14ac:dyDescent="0.4">
      <c r="A11" s="426" t="s">
        <v>136</v>
      </c>
      <c r="B11" s="427">
        <v>25000</v>
      </c>
      <c r="C11" s="428">
        <v>45493</v>
      </c>
      <c r="D11" s="429" t="s">
        <v>132</v>
      </c>
      <c r="F11" s="402"/>
      <c r="G11" s="402"/>
      <c r="H11" s="402"/>
      <c r="I11" s="402"/>
      <c r="J11" s="621"/>
      <c r="K11" s="404"/>
      <c r="L11" s="405"/>
      <c r="M11" s="401"/>
    </row>
    <row r="12" spans="1:13" ht="19.2" thickTop="1" thickBot="1" x14ac:dyDescent="0.4">
      <c r="A12" s="426" t="s">
        <v>138</v>
      </c>
      <c r="B12" s="427">
        <v>25000</v>
      </c>
      <c r="C12" s="428">
        <v>45301</v>
      </c>
      <c r="D12" s="429" t="s">
        <v>134</v>
      </c>
      <c r="F12" s="402"/>
      <c r="G12" s="402"/>
      <c r="H12" s="402"/>
      <c r="I12" s="402"/>
      <c r="J12" s="621"/>
      <c r="K12" s="401"/>
      <c r="L12" s="401"/>
      <c r="M12" s="401"/>
    </row>
    <row r="13" spans="1:13" ht="19.2" thickTop="1" thickBot="1" x14ac:dyDescent="0.4">
      <c r="A13" s="426" t="s">
        <v>139</v>
      </c>
      <c r="B13" s="427">
        <v>30000</v>
      </c>
      <c r="C13" s="428">
        <v>45519</v>
      </c>
      <c r="D13" s="429" t="s">
        <v>126</v>
      </c>
      <c r="F13" s="402"/>
      <c r="G13" s="402"/>
      <c r="H13" s="402"/>
      <c r="I13" s="402"/>
      <c r="J13" s="621"/>
      <c r="K13" s="401"/>
      <c r="L13" s="401"/>
      <c r="M13" s="401"/>
    </row>
    <row r="14" spans="1:13" ht="17.399999999999999" thickTop="1" x14ac:dyDescent="0.3">
      <c r="A14" s="426" t="s">
        <v>140</v>
      </c>
      <c r="B14" s="427">
        <v>30000</v>
      </c>
      <c r="C14" s="428">
        <v>45304</v>
      </c>
      <c r="D14" s="429" t="s">
        <v>126</v>
      </c>
    </row>
    <row r="15" spans="1:13" ht="16.8" x14ac:dyDescent="0.3">
      <c r="A15" s="426" t="s">
        <v>135</v>
      </c>
      <c r="B15" s="427">
        <v>35000</v>
      </c>
      <c r="C15" s="428">
        <v>45548</v>
      </c>
      <c r="D15" s="429" t="s">
        <v>126</v>
      </c>
    </row>
    <row r="16" spans="1:13" ht="16.8" x14ac:dyDescent="0.3">
      <c r="A16" s="426" t="s">
        <v>142</v>
      </c>
      <c r="B16" s="427">
        <v>36000</v>
      </c>
      <c r="C16" s="428">
        <v>45302</v>
      </c>
      <c r="D16" s="429" t="s">
        <v>132</v>
      </c>
    </row>
    <row r="17" spans="1:4" ht="16.8" x14ac:dyDescent="0.3">
      <c r="A17" s="426" t="s">
        <v>143</v>
      </c>
      <c r="B17" s="427">
        <v>40000</v>
      </c>
      <c r="C17" s="428">
        <v>45455</v>
      </c>
      <c r="D17" s="429" t="s">
        <v>132</v>
      </c>
    </row>
    <row r="18" spans="1:4" ht="16.8" x14ac:dyDescent="0.3">
      <c r="A18" s="426" t="s">
        <v>125</v>
      </c>
      <c r="B18" s="427">
        <v>45000</v>
      </c>
      <c r="C18" s="428">
        <v>45298</v>
      </c>
      <c r="D18" s="429" t="s">
        <v>128</v>
      </c>
    </row>
    <row r="19" spans="1:4" ht="16.8" x14ac:dyDescent="0.3">
      <c r="A19" s="426" t="s">
        <v>131</v>
      </c>
      <c r="B19" s="427">
        <v>50000</v>
      </c>
      <c r="C19" s="428">
        <v>45313</v>
      </c>
      <c r="D19" s="429" t="s">
        <v>134</v>
      </c>
    </row>
    <row r="20" spans="1:4" ht="16.8" x14ac:dyDescent="0.3">
      <c r="A20" s="426" t="s">
        <v>136</v>
      </c>
      <c r="B20" s="427">
        <v>70000</v>
      </c>
      <c r="C20" s="430">
        <v>45600</v>
      </c>
      <c r="D20" s="431" t="s">
        <v>132</v>
      </c>
    </row>
    <row r="21" spans="1:4" ht="16.8" x14ac:dyDescent="0.3">
      <c r="A21" s="432" t="s">
        <v>138</v>
      </c>
      <c r="B21" s="433">
        <v>80000</v>
      </c>
      <c r="C21" s="434">
        <v>45296</v>
      </c>
      <c r="D21" s="435" t="s">
        <v>132</v>
      </c>
    </row>
  </sheetData>
  <mergeCells count="2">
    <mergeCell ref="J1:J5"/>
    <mergeCell ref="J9:J13"/>
  </mergeCells>
  <dataValidations count="3">
    <dataValidation type="list" errorStyle="information" allowBlank="1" showInputMessage="1" showErrorMessage="1" errorTitle="INCORRECT VALUE !" error="Select a region ONLY from the in-cell dropdown !" promptTitle="Use the dropdown" prompt="Please select a region from the in-cell dropdown !" sqref="H1:I5" xr:uid="{C85AC986-E5A7-45E4-A3EC-B088639F02F0}">
      <formula1>$E$3:$E$22</formula1>
    </dataValidation>
    <dataValidation type="whole" allowBlank="1" showInputMessage="1" showErrorMessage="1" errorTitle="INCORRECT VALUE !" error="Whole nos. only from 50 to100 ALLOWED !!!" promptTitle="WHOLE Numbers ONLY !!" prompt="Please enter whole nos. only from 50 to100..." sqref="F5 F1:F4 G1 G3:G5 G2" xr:uid="{0414136D-974B-4658-9715-7CDBC61DA2A3}">
      <formula1>50</formula1>
      <formula2>100</formula2>
    </dataValidation>
    <dataValidation type="whole" allowBlank="1" showInputMessage="1" showErrorMessage="1" sqref="H7" xr:uid="{1357AECD-DD91-457B-95D9-E3BD469AC1CE}">
      <formula1>50</formula1>
      <formula2>1000</formula2>
    </dataValidation>
  </dataValidation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3575-B74F-40B4-A367-865D27AC6BB2}">
  <dimension ref="A1:AH46"/>
  <sheetViews>
    <sheetView workbookViewId="0">
      <selection activeCell="C5" sqref="C5"/>
    </sheetView>
  </sheetViews>
  <sheetFormatPr defaultRowHeight="14.4" x14ac:dyDescent="0.3"/>
  <cols>
    <col min="1" max="1" width="25.77734375" bestFit="1" customWidth="1"/>
    <col min="2" max="2" width="11.77734375" bestFit="1" customWidth="1"/>
    <col min="3" max="3" width="15.77734375" bestFit="1" customWidth="1"/>
    <col min="4" max="4" width="11.33203125" bestFit="1" customWidth="1"/>
    <col min="6" max="6" width="25.77734375" bestFit="1" customWidth="1"/>
    <col min="7" max="7" width="11.77734375" bestFit="1" customWidth="1"/>
    <col min="8" max="8" width="15.77734375" bestFit="1" customWidth="1"/>
    <col min="9" max="9" width="11.33203125" bestFit="1" customWidth="1"/>
    <col min="14" max="14" width="11.33203125" bestFit="1" customWidth="1"/>
    <col min="15" max="15" width="22.5546875" bestFit="1" customWidth="1"/>
    <col min="16" max="16" width="25.77734375" bestFit="1" customWidth="1"/>
    <col min="17" max="17" width="16.6640625" bestFit="1" customWidth="1"/>
    <col min="18" max="18" width="18.44140625" bestFit="1" customWidth="1"/>
    <col min="19" max="19" width="17.6640625" bestFit="1" customWidth="1"/>
    <col min="20" max="20" width="19.6640625" bestFit="1" customWidth="1"/>
    <col min="21" max="21" width="16.6640625" bestFit="1" customWidth="1"/>
    <col min="22" max="24" width="15.77734375" bestFit="1" customWidth="1"/>
    <col min="25" max="25" width="17" bestFit="1" customWidth="1"/>
    <col min="26" max="26" width="23.5546875" bestFit="1" customWidth="1"/>
    <col min="27" max="27" width="16.6640625" bestFit="1" customWidth="1"/>
    <col min="28" max="30" width="15.77734375" bestFit="1" customWidth="1"/>
    <col min="31" max="31" width="22.5546875" bestFit="1" customWidth="1"/>
    <col min="32" max="32" width="17.6640625" bestFit="1" customWidth="1"/>
    <col min="33" max="33" width="15.77734375" bestFit="1" customWidth="1"/>
    <col min="34" max="34" width="17" bestFit="1" customWidth="1"/>
  </cols>
  <sheetData>
    <row r="1" spans="1:34" ht="16.8" x14ac:dyDescent="0.3">
      <c r="A1" s="424" t="s">
        <v>121</v>
      </c>
      <c r="B1" s="424" t="s">
        <v>122</v>
      </c>
      <c r="C1" s="424" t="s">
        <v>123</v>
      </c>
      <c r="D1" s="425" t="s">
        <v>124</v>
      </c>
    </row>
    <row r="2" spans="1:34" ht="16.8" x14ac:dyDescent="0.3">
      <c r="A2" s="426" t="s">
        <v>125</v>
      </c>
      <c r="B2" s="427">
        <v>5000</v>
      </c>
      <c r="C2" s="428">
        <v>45359</v>
      </c>
      <c r="D2" s="429" t="s">
        <v>126</v>
      </c>
      <c r="F2" s="447" t="s">
        <v>121</v>
      </c>
      <c r="G2" s="447" t="s">
        <v>122</v>
      </c>
      <c r="H2" s="447" t="s">
        <v>123</v>
      </c>
      <c r="I2" s="447" t="s">
        <v>124</v>
      </c>
      <c r="N2" s="424" t="s">
        <v>121</v>
      </c>
      <c r="O2" s="426" t="s">
        <v>125</v>
      </c>
      <c r="P2" s="426" t="s">
        <v>127</v>
      </c>
      <c r="Q2" s="426" t="s">
        <v>129</v>
      </c>
      <c r="R2" s="426" t="s">
        <v>130</v>
      </c>
      <c r="S2" s="426" t="s">
        <v>131</v>
      </c>
      <c r="T2" s="426" t="s">
        <v>133</v>
      </c>
      <c r="U2" s="426" t="s">
        <v>129</v>
      </c>
      <c r="V2" s="426" t="s">
        <v>135</v>
      </c>
      <c r="W2" s="426" t="s">
        <v>136</v>
      </c>
      <c r="X2" s="426" t="s">
        <v>136</v>
      </c>
      <c r="Y2" s="426" t="s">
        <v>138</v>
      </c>
      <c r="Z2" s="426" t="s">
        <v>139</v>
      </c>
      <c r="AA2" s="426" t="s">
        <v>140</v>
      </c>
      <c r="AB2" s="426" t="s">
        <v>135</v>
      </c>
      <c r="AC2" s="426" t="s">
        <v>142</v>
      </c>
      <c r="AD2" s="426" t="s">
        <v>143</v>
      </c>
      <c r="AE2" s="426" t="s">
        <v>125</v>
      </c>
      <c r="AF2" s="426" t="s">
        <v>131</v>
      </c>
      <c r="AG2" s="426" t="s">
        <v>136</v>
      </c>
      <c r="AH2" s="432" t="s">
        <v>138</v>
      </c>
    </row>
    <row r="3" spans="1:34" ht="16.8" x14ac:dyDescent="0.3">
      <c r="A3" s="426" t="s">
        <v>127</v>
      </c>
      <c r="B3" s="427">
        <v>6000</v>
      </c>
      <c r="C3" s="428">
        <v>45297</v>
      </c>
      <c r="D3" s="429" t="s">
        <v>128</v>
      </c>
      <c r="F3" s="448" t="s">
        <v>125</v>
      </c>
      <c r="G3" s="449">
        <v>5000</v>
      </c>
      <c r="H3" s="450">
        <v>45359</v>
      </c>
      <c r="I3" s="451" t="s">
        <v>126</v>
      </c>
      <c r="N3" s="424" t="s">
        <v>122</v>
      </c>
      <c r="O3" s="427">
        <v>5000</v>
      </c>
      <c r="P3" s="427">
        <v>6000</v>
      </c>
      <c r="Q3" s="427">
        <v>7000</v>
      </c>
      <c r="R3" s="427">
        <v>8000</v>
      </c>
      <c r="S3" s="427">
        <v>9000</v>
      </c>
      <c r="T3" s="427">
        <v>10000</v>
      </c>
      <c r="U3" s="427">
        <v>10000</v>
      </c>
      <c r="V3" s="427">
        <v>15000</v>
      </c>
      <c r="W3" s="427">
        <v>18000</v>
      </c>
      <c r="X3" s="427">
        <v>25000</v>
      </c>
      <c r="Y3" s="427">
        <v>25000</v>
      </c>
      <c r="Z3" s="427">
        <v>30000</v>
      </c>
      <c r="AA3" s="427">
        <v>30000</v>
      </c>
      <c r="AB3" s="427">
        <v>35000</v>
      </c>
      <c r="AC3" s="427">
        <v>36000</v>
      </c>
      <c r="AD3" s="427">
        <v>40000</v>
      </c>
      <c r="AE3" s="427">
        <v>45000</v>
      </c>
      <c r="AF3" s="427">
        <v>50000</v>
      </c>
      <c r="AG3" s="427">
        <v>70000</v>
      </c>
      <c r="AH3" s="433">
        <v>80000</v>
      </c>
    </row>
    <row r="4" spans="1:34" ht="16.8" x14ac:dyDescent="0.3">
      <c r="A4" s="426" t="s">
        <v>129</v>
      </c>
      <c r="B4" s="427">
        <v>7000</v>
      </c>
      <c r="C4" s="428">
        <v>45308</v>
      </c>
      <c r="D4" s="429" t="s">
        <v>128</v>
      </c>
      <c r="F4" s="448" t="s">
        <v>127</v>
      </c>
      <c r="G4" s="449">
        <v>6000</v>
      </c>
      <c r="H4" s="450">
        <v>45297</v>
      </c>
      <c r="I4" s="451" t="s">
        <v>128</v>
      </c>
      <c r="N4" s="424" t="s">
        <v>123</v>
      </c>
      <c r="O4" s="428">
        <v>45359</v>
      </c>
      <c r="P4" s="428">
        <v>45297</v>
      </c>
      <c r="Q4" s="428">
        <v>45308</v>
      </c>
      <c r="R4" s="428">
        <v>45392</v>
      </c>
      <c r="S4" s="428">
        <v>45297</v>
      </c>
      <c r="T4" s="428">
        <v>45292</v>
      </c>
      <c r="U4" s="428">
        <v>45313</v>
      </c>
      <c r="V4" s="428">
        <v>45415</v>
      </c>
      <c r="W4" s="428">
        <v>45310</v>
      </c>
      <c r="X4" s="428">
        <v>45493</v>
      </c>
      <c r="Y4" s="428">
        <v>45301</v>
      </c>
      <c r="Z4" s="428">
        <v>45519</v>
      </c>
      <c r="AA4" s="428">
        <v>45304</v>
      </c>
      <c r="AB4" s="428">
        <v>45548</v>
      </c>
      <c r="AC4" s="428">
        <v>45302</v>
      </c>
      <c r="AD4" s="428">
        <v>45455</v>
      </c>
      <c r="AE4" s="428">
        <v>45298</v>
      </c>
      <c r="AF4" s="428">
        <v>45313</v>
      </c>
      <c r="AG4" s="430">
        <v>45600</v>
      </c>
      <c r="AH4" s="434">
        <v>45296</v>
      </c>
    </row>
    <row r="5" spans="1:34" ht="16.8" x14ac:dyDescent="0.3">
      <c r="A5" s="426" t="s">
        <v>130</v>
      </c>
      <c r="B5" s="427">
        <v>8000</v>
      </c>
      <c r="C5" s="428">
        <v>45392</v>
      </c>
      <c r="D5" s="429" t="s">
        <v>128</v>
      </c>
      <c r="F5" s="448" t="s">
        <v>129</v>
      </c>
      <c r="G5" s="449">
        <v>7000</v>
      </c>
      <c r="H5" s="450">
        <v>45308</v>
      </c>
      <c r="I5" s="451" t="s">
        <v>128</v>
      </c>
      <c r="N5" s="425" t="s">
        <v>124</v>
      </c>
      <c r="O5" s="429" t="s">
        <v>126</v>
      </c>
      <c r="P5" s="429" t="s">
        <v>128</v>
      </c>
      <c r="Q5" s="429" t="s">
        <v>128</v>
      </c>
      <c r="R5" s="429" t="s">
        <v>128</v>
      </c>
      <c r="S5" s="429" t="s">
        <v>132</v>
      </c>
      <c r="T5" s="429" t="s">
        <v>134</v>
      </c>
      <c r="U5" s="429" t="s">
        <v>126</v>
      </c>
      <c r="V5" s="429" t="s">
        <v>134</v>
      </c>
      <c r="W5" s="429" t="s">
        <v>134</v>
      </c>
      <c r="X5" s="429" t="s">
        <v>132</v>
      </c>
      <c r="Y5" s="429" t="s">
        <v>134</v>
      </c>
      <c r="Z5" s="429" t="s">
        <v>126</v>
      </c>
      <c r="AA5" s="429" t="s">
        <v>126</v>
      </c>
      <c r="AB5" s="429" t="s">
        <v>126</v>
      </c>
      <c r="AC5" s="429" t="s">
        <v>132</v>
      </c>
      <c r="AD5" s="429" t="s">
        <v>132</v>
      </c>
      <c r="AE5" s="429" t="s">
        <v>128</v>
      </c>
      <c r="AF5" s="429" t="s">
        <v>134</v>
      </c>
      <c r="AG5" s="431" t="s">
        <v>132</v>
      </c>
      <c r="AH5" s="435" t="s">
        <v>132</v>
      </c>
    </row>
    <row r="6" spans="1:34" ht="16.8" x14ac:dyDescent="0.3">
      <c r="A6" s="426" t="s">
        <v>131</v>
      </c>
      <c r="B6" s="427">
        <v>9000</v>
      </c>
      <c r="C6" s="428">
        <v>45297</v>
      </c>
      <c r="D6" s="429" t="s">
        <v>132</v>
      </c>
      <c r="F6" s="448" t="s">
        <v>130</v>
      </c>
      <c r="G6" s="449">
        <v>8000</v>
      </c>
      <c r="H6" s="450">
        <v>45392</v>
      </c>
      <c r="I6" s="451" t="s">
        <v>128</v>
      </c>
    </row>
    <row r="7" spans="1:34" ht="16.8" x14ac:dyDescent="0.3">
      <c r="A7" s="426" t="s">
        <v>133</v>
      </c>
      <c r="B7" s="427">
        <v>10000</v>
      </c>
      <c r="C7" s="428">
        <v>45292</v>
      </c>
      <c r="D7" s="429" t="s">
        <v>134</v>
      </c>
      <c r="F7" s="448" t="s">
        <v>131</v>
      </c>
      <c r="G7" s="449">
        <v>9000</v>
      </c>
      <c r="H7" s="450">
        <v>45297</v>
      </c>
      <c r="I7" s="451" t="s">
        <v>132</v>
      </c>
    </row>
    <row r="8" spans="1:34" ht="16.8" x14ac:dyDescent="0.3">
      <c r="A8" s="426" t="s">
        <v>129</v>
      </c>
      <c r="B8" s="427">
        <v>10000</v>
      </c>
      <c r="C8" s="428">
        <v>45313</v>
      </c>
      <c r="D8" s="429" t="s">
        <v>126</v>
      </c>
      <c r="F8" s="448" t="s">
        <v>133</v>
      </c>
      <c r="G8" s="449">
        <v>10000</v>
      </c>
      <c r="H8" s="450">
        <v>45292</v>
      </c>
      <c r="I8" s="451" t="s">
        <v>134</v>
      </c>
    </row>
    <row r="9" spans="1:34" ht="16.8" x14ac:dyDescent="0.3">
      <c r="A9" s="426" t="s">
        <v>135</v>
      </c>
      <c r="B9" s="427">
        <v>15000</v>
      </c>
      <c r="C9" s="428">
        <v>45415</v>
      </c>
      <c r="D9" s="429" t="s">
        <v>134</v>
      </c>
      <c r="F9" s="448" t="s">
        <v>129</v>
      </c>
      <c r="G9" s="449">
        <v>10000</v>
      </c>
      <c r="H9" s="450">
        <v>45313</v>
      </c>
      <c r="I9" s="451" t="s">
        <v>126</v>
      </c>
    </row>
    <row r="10" spans="1:34" ht="16.8" x14ac:dyDescent="0.3">
      <c r="A10" s="426" t="s">
        <v>136</v>
      </c>
      <c r="B10" s="427">
        <v>18000</v>
      </c>
      <c r="C10" s="428">
        <v>45310</v>
      </c>
      <c r="D10" s="429" t="s">
        <v>134</v>
      </c>
      <c r="F10" s="448" t="s">
        <v>135</v>
      </c>
      <c r="G10" s="449">
        <v>15000</v>
      </c>
      <c r="H10" s="450">
        <v>45415</v>
      </c>
      <c r="I10" s="451" t="s">
        <v>134</v>
      </c>
      <c r="K10" t="s">
        <v>121</v>
      </c>
      <c r="L10" t="s">
        <v>122</v>
      </c>
      <c r="M10" t="s">
        <v>123</v>
      </c>
      <c r="N10" t="s">
        <v>124</v>
      </c>
    </row>
    <row r="11" spans="1:34" ht="16.8" x14ac:dyDescent="0.3">
      <c r="A11" s="426" t="s">
        <v>136</v>
      </c>
      <c r="B11" s="427">
        <v>25000</v>
      </c>
      <c r="C11" s="428">
        <v>45493</v>
      </c>
      <c r="D11" s="429" t="s">
        <v>132</v>
      </c>
      <c r="F11" s="448" t="s">
        <v>136</v>
      </c>
      <c r="G11" s="449">
        <v>18000</v>
      </c>
      <c r="H11" s="450">
        <v>45310</v>
      </c>
      <c r="I11" s="451" t="s">
        <v>134</v>
      </c>
      <c r="K11" t="s">
        <v>125</v>
      </c>
      <c r="L11">
        <v>5000</v>
      </c>
      <c r="M11">
        <v>45359</v>
      </c>
      <c r="N11" t="s">
        <v>126</v>
      </c>
    </row>
    <row r="12" spans="1:34" ht="16.8" x14ac:dyDescent="0.3">
      <c r="A12" s="426" t="s">
        <v>138</v>
      </c>
      <c r="B12" s="427">
        <v>25000</v>
      </c>
      <c r="C12" s="428">
        <v>45301</v>
      </c>
      <c r="D12" s="429" t="s">
        <v>134</v>
      </c>
      <c r="F12" s="448" t="s">
        <v>136</v>
      </c>
      <c r="G12" s="449">
        <v>25000</v>
      </c>
      <c r="H12" s="450">
        <v>45493</v>
      </c>
      <c r="I12" s="451" t="s">
        <v>132</v>
      </c>
      <c r="K12" t="s">
        <v>127</v>
      </c>
      <c r="L12">
        <v>6000</v>
      </c>
      <c r="M12">
        <v>45297</v>
      </c>
      <c r="N12" t="s">
        <v>128</v>
      </c>
    </row>
    <row r="13" spans="1:34" ht="16.8" x14ac:dyDescent="0.3">
      <c r="A13" s="426" t="s">
        <v>139</v>
      </c>
      <c r="B13" s="427">
        <v>30000</v>
      </c>
      <c r="C13" s="428">
        <v>45519</v>
      </c>
      <c r="D13" s="429" t="s">
        <v>126</v>
      </c>
      <c r="F13" s="448" t="s">
        <v>138</v>
      </c>
      <c r="G13" s="449">
        <v>25000</v>
      </c>
      <c r="H13" s="450">
        <v>45301</v>
      </c>
      <c r="I13" s="451" t="s">
        <v>134</v>
      </c>
      <c r="K13" t="s">
        <v>129</v>
      </c>
      <c r="L13">
        <v>7000</v>
      </c>
      <c r="M13">
        <v>45308</v>
      </c>
      <c r="N13" t="s">
        <v>128</v>
      </c>
    </row>
    <row r="14" spans="1:34" ht="16.8" x14ac:dyDescent="0.3">
      <c r="A14" s="426" t="s">
        <v>140</v>
      </c>
      <c r="B14" s="427">
        <v>30000</v>
      </c>
      <c r="C14" s="428">
        <v>45304</v>
      </c>
      <c r="D14" s="429" t="s">
        <v>126</v>
      </c>
      <c r="F14" s="448" t="s">
        <v>139</v>
      </c>
      <c r="G14" s="449">
        <v>30000</v>
      </c>
      <c r="H14" s="450">
        <v>45519</v>
      </c>
      <c r="I14" s="451" t="s">
        <v>126</v>
      </c>
      <c r="K14" t="s">
        <v>130</v>
      </c>
      <c r="L14">
        <v>8000</v>
      </c>
      <c r="M14">
        <v>45392</v>
      </c>
      <c r="N14" t="s">
        <v>128</v>
      </c>
    </row>
    <row r="15" spans="1:34" ht="16.8" x14ac:dyDescent="0.3">
      <c r="A15" s="426" t="s">
        <v>135</v>
      </c>
      <c r="B15" s="427">
        <v>35000</v>
      </c>
      <c r="C15" s="428">
        <v>45548</v>
      </c>
      <c r="D15" s="429" t="s">
        <v>126</v>
      </c>
      <c r="F15" s="448" t="s">
        <v>140</v>
      </c>
      <c r="G15" s="449">
        <v>30000</v>
      </c>
      <c r="H15" s="450">
        <v>45304</v>
      </c>
      <c r="I15" s="451" t="s">
        <v>126</v>
      </c>
      <c r="K15" t="s">
        <v>131</v>
      </c>
      <c r="L15">
        <v>9000</v>
      </c>
      <c r="M15">
        <v>45297</v>
      </c>
      <c r="N15" t="s">
        <v>132</v>
      </c>
    </row>
    <row r="16" spans="1:34" ht="16.8" x14ac:dyDescent="0.3">
      <c r="A16" s="426" t="s">
        <v>142</v>
      </c>
      <c r="B16" s="427">
        <v>36000</v>
      </c>
      <c r="C16" s="428">
        <v>45302</v>
      </c>
      <c r="D16" s="429" t="s">
        <v>132</v>
      </c>
      <c r="F16" s="448" t="s">
        <v>135</v>
      </c>
      <c r="G16" s="449">
        <v>35000</v>
      </c>
      <c r="H16" s="450">
        <v>45548</v>
      </c>
      <c r="I16" s="451" t="s">
        <v>126</v>
      </c>
      <c r="K16" t="s">
        <v>133</v>
      </c>
      <c r="L16">
        <v>10000</v>
      </c>
      <c r="M16">
        <v>45292</v>
      </c>
      <c r="N16" t="s">
        <v>134</v>
      </c>
    </row>
    <row r="17" spans="1:14" ht="16.8" x14ac:dyDescent="0.3">
      <c r="A17" s="426" t="s">
        <v>143</v>
      </c>
      <c r="B17" s="427">
        <v>40000</v>
      </c>
      <c r="C17" s="428">
        <v>45455</v>
      </c>
      <c r="D17" s="429" t="s">
        <v>132</v>
      </c>
      <c r="F17" s="448" t="s">
        <v>142</v>
      </c>
      <c r="G17" s="449">
        <v>36000</v>
      </c>
      <c r="H17" s="450">
        <v>45302</v>
      </c>
      <c r="I17" s="451" t="s">
        <v>132</v>
      </c>
      <c r="K17" t="s">
        <v>129</v>
      </c>
      <c r="L17">
        <v>10000</v>
      </c>
      <c r="M17">
        <v>45313</v>
      </c>
      <c r="N17" t="s">
        <v>126</v>
      </c>
    </row>
    <row r="18" spans="1:14" ht="16.8" x14ac:dyDescent="0.3">
      <c r="A18" s="426" t="s">
        <v>125</v>
      </c>
      <c r="B18" s="427">
        <v>45000</v>
      </c>
      <c r="C18" s="428">
        <v>45298</v>
      </c>
      <c r="D18" s="429" t="s">
        <v>128</v>
      </c>
      <c r="F18" s="448" t="s">
        <v>143</v>
      </c>
      <c r="G18" s="449">
        <v>40000</v>
      </c>
      <c r="H18" s="450">
        <v>45455</v>
      </c>
      <c r="I18" s="451" t="s">
        <v>132</v>
      </c>
      <c r="K18" t="s">
        <v>135</v>
      </c>
      <c r="L18">
        <v>15000</v>
      </c>
      <c r="M18">
        <v>45415</v>
      </c>
      <c r="N18" t="s">
        <v>134</v>
      </c>
    </row>
    <row r="19" spans="1:14" ht="16.8" x14ac:dyDescent="0.3">
      <c r="A19" s="426" t="s">
        <v>131</v>
      </c>
      <c r="B19" s="427">
        <v>50000</v>
      </c>
      <c r="C19" s="428">
        <v>45313</v>
      </c>
      <c r="D19" s="429" t="s">
        <v>134</v>
      </c>
      <c r="F19" s="448" t="s">
        <v>125</v>
      </c>
      <c r="G19" s="449">
        <v>45000</v>
      </c>
      <c r="H19" s="450">
        <v>45298</v>
      </c>
      <c r="I19" s="451" t="s">
        <v>128</v>
      </c>
      <c r="K19" t="s">
        <v>136</v>
      </c>
      <c r="L19">
        <v>18000</v>
      </c>
      <c r="M19">
        <v>45310</v>
      </c>
      <c r="N19" t="s">
        <v>134</v>
      </c>
    </row>
    <row r="20" spans="1:14" ht="16.8" x14ac:dyDescent="0.3">
      <c r="A20" s="426" t="s">
        <v>136</v>
      </c>
      <c r="B20" s="427">
        <v>70000</v>
      </c>
      <c r="C20" s="430">
        <v>45600</v>
      </c>
      <c r="D20" s="431" t="s">
        <v>132</v>
      </c>
      <c r="F20" s="448" t="s">
        <v>131</v>
      </c>
      <c r="G20" s="449">
        <v>50000</v>
      </c>
      <c r="H20" s="450">
        <v>45313</v>
      </c>
      <c r="I20" s="451" t="s">
        <v>134</v>
      </c>
      <c r="K20" t="s">
        <v>136</v>
      </c>
      <c r="L20">
        <v>25000</v>
      </c>
      <c r="M20">
        <v>45493</v>
      </c>
      <c r="N20" t="s">
        <v>132</v>
      </c>
    </row>
    <row r="21" spans="1:14" ht="16.8" x14ac:dyDescent="0.3">
      <c r="A21" s="432" t="s">
        <v>138</v>
      </c>
      <c r="B21" s="433">
        <v>80000</v>
      </c>
      <c r="C21" s="434">
        <v>45296</v>
      </c>
      <c r="D21" s="435" t="s">
        <v>132</v>
      </c>
      <c r="F21" s="448" t="s">
        <v>136</v>
      </c>
      <c r="G21" s="449">
        <v>70000</v>
      </c>
      <c r="H21" s="450">
        <v>45600</v>
      </c>
      <c r="I21" s="451" t="s">
        <v>132</v>
      </c>
      <c r="K21" t="s">
        <v>138</v>
      </c>
      <c r="L21">
        <v>25000</v>
      </c>
      <c r="M21">
        <v>45301</v>
      </c>
      <c r="N21" t="s">
        <v>134</v>
      </c>
    </row>
    <row r="22" spans="1:14" ht="16.8" x14ac:dyDescent="0.3">
      <c r="F22" s="448" t="s">
        <v>138</v>
      </c>
      <c r="G22" s="449">
        <v>80000</v>
      </c>
      <c r="H22" s="450">
        <v>45296</v>
      </c>
      <c r="I22" s="451" t="s">
        <v>132</v>
      </c>
      <c r="K22" t="s">
        <v>139</v>
      </c>
      <c r="L22">
        <v>30000</v>
      </c>
      <c r="M22">
        <v>45519</v>
      </c>
      <c r="N22" t="s">
        <v>126</v>
      </c>
    </row>
    <row r="23" spans="1:14" x14ac:dyDescent="0.3">
      <c r="K23" t="s">
        <v>140</v>
      </c>
      <c r="L23">
        <v>30000</v>
      </c>
      <c r="M23">
        <v>45304</v>
      </c>
      <c r="N23" t="s">
        <v>126</v>
      </c>
    </row>
    <row r="24" spans="1:14" x14ac:dyDescent="0.3">
      <c r="K24" t="s">
        <v>135</v>
      </c>
      <c r="L24">
        <v>35000</v>
      </c>
      <c r="M24">
        <v>45548</v>
      </c>
      <c r="N24" t="s">
        <v>126</v>
      </c>
    </row>
    <row r="25" spans="1:14" x14ac:dyDescent="0.3">
      <c r="K25" t="s">
        <v>142</v>
      </c>
      <c r="L25">
        <v>36000</v>
      </c>
      <c r="M25">
        <v>45302</v>
      </c>
      <c r="N25" t="s">
        <v>132</v>
      </c>
    </row>
    <row r="26" spans="1:14" ht="16.8" x14ac:dyDescent="0.3">
      <c r="E26" s="424"/>
      <c r="F26" s="424"/>
      <c r="G26" s="424"/>
      <c r="H26" s="425"/>
      <c r="K26" t="s">
        <v>143</v>
      </c>
      <c r="L26">
        <v>40000</v>
      </c>
      <c r="M26">
        <v>45455</v>
      </c>
      <c r="N26" t="s">
        <v>132</v>
      </c>
    </row>
    <row r="27" spans="1:14" ht="16.8" x14ac:dyDescent="0.3">
      <c r="E27" s="426"/>
      <c r="F27" s="427"/>
      <c r="G27" s="428"/>
      <c r="H27" s="429"/>
      <c r="K27" t="s">
        <v>125</v>
      </c>
      <c r="L27">
        <v>45000</v>
      </c>
      <c r="M27">
        <v>45298</v>
      </c>
      <c r="N27" t="s">
        <v>128</v>
      </c>
    </row>
    <row r="28" spans="1:14" ht="16.8" x14ac:dyDescent="0.3">
      <c r="E28" s="426"/>
      <c r="F28" s="427"/>
      <c r="G28" s="428"/>
      <c r="H28" s="429"/>
      <c r="K28" t="s">
        <v>131</v>
      </c>
      <c r="L28">
        <v>50000</v>
      </c>
      <c r="M28">
        <v>45313</v>
      </c>
      <c r="N28" t="s">
        <v>134</v>
      </c>
    </row>
    <row r="29" spans="1:14" ht="16.8" x14ac:dyDescent="0.3">
      <c r="E29" s="426"/>
      <c r="F29" s="427"/>
      <c r="G29" s="428"/>
      <c r="H29" s="429"/>
      <c r="K29" t="s">
        <v>136</v>
      </c>
      <c r="L29">
        <v>70000</v>
      </c>
      <c r="M29">
        <v>45600</v>
      </c>
      <c r="N29" t="s">
        <v>132</v>
      </c>
    </row>
    <row r="30" spans="1:14" ht="16.8" x14ac:dyDescent="0.3">
      <c r="E30" s="426"/>
      <c r="F30" s="427"/>
      <c r="G30" s="428"/>
      <c r="H30" s="429"/>
      <c r="K30" t="s">
        <v>138</v>
      </c>
      <c r="L30">
        <v>80000</v>
      </c>
      <c r="M30">
        <v>45296</v>
      </c>
      <c r="N30" t="s">
        <v>132</v>
      </c>
    </row>
    <row r="31" spans="1:14" ht="16.8" x14ac:dyDescent="0.3">
      <c r="E31" s="426"/>
      <c r="F31" s="427"/>
      <c r="G31" s="428"/>
      <c r="H31" s="429"/>
    </row>
    <row r="32" spans="1:14" ht="16.8" x14ac:dyDescent="0.3">
      <c r="E32" s="426"/>
      <c r="F32" s="427"/>
      <c r="G32" s="428"/>
      <c r="H32" s="429"/>
    </row>
    <row r="33" spans="5:8" ht="16.8" x14ac:dyDescent="0.3">
      <c r="E33" s="426"/>
      <c r="F33" s="427"/>
      <c r="G33" s="428"/>
      <c r="H33" s="429"/>
    </row>
    <row r="34" spans="5:8" ht="16.8" x14ac:dyDescent="0.3">
      <c r="E34" s="426"/>
      <c r="F34" s="427"/>
      <c r="G34" s="428"/>
      <c r="H34" s="429"/>
    </row>
    <row r="35" spans="5:8" ht="16.8" x14ac:dyDescent="0.3">
      <c r="E35" s="426"/>
      <c r="F35" s="427"/>
      <c r="G35" s="428"/>
      <c r="H35" s="429"/>
    </row>
    <row r="36" spans="5:8" ht="16.8" x14ac:dyDescent="0.3">
      <c r="E36" s="426"/>
      <c r="F36" s="427"/>
      <c r="G36" s="428"/>
      <c r="H36" s="429"/>
    </row>
    <row r="37" spans="5:8" ht="16.8" x14ac:dyDescent="0.3">
      <c r="E37" s="426"/>
      <c r="F37" s="427"/>
      <c r="G37" s="428"/>
      <c r="H37" s="429"/>
    </row>
    <row r="38" spans="5:8" ht="16.8" x14ac:dyDescent="0.3">
      <c r="E38" s="426"/>
      <c r="F38" s="427"/>
      <c r="G38" s="428"/>
      <c r="H38" s="429"/>
    </row>
    <row r="39" spans="5:8" ht="16.8" x14ac:dyDescent="0.3">
      <c r="E39" s="426"/>
      <c r="F39" s="427"/>
      <c r="G39" s="428"/>
      <c r="H39" s="429"/>
    </row>
    <row r="40" spans="5:8" ht="16.8" x14ac:dyDescent="0.3">
      <c r="E40" s="426"/>
      <c r="F40" s="427"/>
      <c r="G40" s="428"/>
      <c r="H40" s="429"/>
    </row>
    <row r="41" spans="5:8" ht="16.8" x14ac:dyDescent="0.3">
      <c r="E41" s="426"/>
      <c r="F41" s="427"/>
      <c r="G41" s="428"/>
      <c r="H41" s="429"/>
    </row>
    <row r="42" spans="5:8" ht="16.8" x14ac:dyDescent="0.3">
      <c r="E42" s="426"/>
      <c r="F42" s="427"/>
      <c r="G42" s="428"/>
      <c r="H42" s="429"/>
    </row>
    <row r="43" spans="5:8" ht="16.8" x14ac:dyDescent="0.3">
      <c r="E43" s="426"/>
      <c r="F43" s="427"/>
      <c r="G43" s="428"/>
      <c r="H43" s="429"/>
    </row>
    <row r="44" spans="5:8" ht="16.8" x14ac:dyDescent="0.3">
      <c r="E44" s="426"/>
      <c r="F44" s="427"/>
      <c r="G44" s="428"/>
      <c r="H44" s="429"/>
    </row>
    <row r="45" spans="5:8" ht="16.8" x14ac:dyDescent="0.3">
      <c r="E45" s="426"/>
      <c r="F45" s="427"/>
      <c r="G45" s="430"/>
      <c r="H45" s="431"/>
    </row>
    <row r="46" spans="5:8" ht="16.8" x14ac:dyDescent="0.3">
      <c r="E46" s="432"/>
      <c r="F46" s="433"/>
      <c r="G46" s="434"/>
      <c r="H46" s="435"/>
    </row>
  </sheetData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A3BC-158A-4976-8A3D-1A5B16E3E1AC}">
  <dimension ref="A1:O74"/>
  <sheetViews>
    <sheetView topLeftCell="I1" workbookViewId="0">
      <selection activeCell="L40" sqref="L40"/>
    </sheetView>
  </sheetViews>
  <sheetFormatPr defaultRowHeight="14.4" x14ac:dyDescent="0.3"/>
  <cols>
    <col min="1" max="1" width="15.21875" customWidth="1"/>
    <col min="2" max="3" width="15.5546875" bestFit="1" customWidth="1"/>
    <col min="4" max="4" width="18.88671875" customWidth="1"/>
    <col min="5" max="5" width="20" customWidth="1"/>
    <col min="6" max="7" width="12.77734375" bestFit="1" customWidth="1"/>
    <col min="8" max="8" width="20" customWidth="1"/>
    <col min="9" max="9" width="12.77734375" bestFit="1" customWidth="1"/>
    <col min="10" max="10" width="18.88671875" customWidth="1"/>
    <col min="11" max="13" width="12.77734375" bestFit="1" customWidth="1"/>
    <col min="15" max="15" width="12.77734375" bestFit="1" customWidth="1"/>
  </cols>
  <sheetData>
    <row r="1" spans="1:15" ht="18" x14ac:dyDescent="0.3">
      <c r="A1" s="458" t="s">
        <v>243</v>
      </c>
      <c r="B1" s="459" t="s">
        <v>264</v>
      </c>
      <c r="C1" s="459" t="s">
        <v>121</v>
      </c>
      <c r="D1" s="459" t="s">
        <v>448</v>
      </c>
      <c r="E1" s="460" t="s">
        <v>449</v>
      </c>
      <c r="G1" s="455" t="s">
        <v>448</v>
      </c>
      <c r="H1" s="454"/>
      <c r="I1" s="455" t="s">
        <v>448</v>
      </c>
      <c r="J1" s="454"/>
      <c r="K1" s="455" t="s">
        <v>448</v>
      </c>
      <c r="L1" s="454"/>
      <c r="M1" s="455" t="s">
        <v>448</v>
      </c>
      <c r="N1" s="454"/>
      <c r="O1" s="455" t="s">
        <v>448</v>
      </c>
    </row>
    <row r="2" spans="1:15" ht="17.399999999999999" x14ac:dyDescent="0.3">
      <c r="A2" s="461">
        <v>44930</v>
      </c>
      <c r="B2" s="462" t="s">
        <v>450</v>
      </c>
      <c r="C2" s="462" t="s">
        <v>451</v>
      </c>
      <c r="D2" s="463">
        <v>6600</v>
      </c>
      <c r="E2" s="464">
        <v>7000</v>
      </c>
      <c r="G2" s="456">
        <v>1000</v>
      </c>
      <c r="H2" s="454"/>
      <c r="I2" s="456">
        <v>1000</v>
      </c>
      <c r="J2" s="454"/>
      <c r="K2" s="456">
        <v>10000</v>
      </c>
      <c r="L2" s="454"/>
      <c r="M2" s="456">
        <v>1000</v>
      </c>
      <c r="N2" s="454"/>
      <c r="O2" s="456">
        <v>8900</v>
      </c>
    </row>
    <row r="3" spans="1:15" ht="17.399999999999999" x14ac:dyDescent="0.3">
      <c r="A3" s="461">
        <v>44930</v>
      </c>
      <c r="B3" s="462" t="s">
        <v>452</v>
      </c>
      <c r="C3" s="462" t="s">
        <v>453</v>
      </c>
      <c r="D3" s="463">
        <v>7000</v>
      </c>
      <c r="E3" s="464">
        <v>7200</v>
      </c>
      <c r="G3" s="456">
        <v>1000</v>
      </c>
      <c r="H3" s="454"/>
      <c r="I3" s="456">
        <v>1000</v>
      </c>
      <c r="J3" s="454"/>
      <c r="K3" s="456">
        <v>1000</v>
      </c>
      <c r="L3" s="454"/>
      <c r="M3" s="456">
        <v>1000</v>
      </c>
      <c r="N3" s="454"/>
      <c r="O3" s="456">
        <v>8800</v>
      </c>
    </row>
    <row r="4" spans="1:15" ht="17.399999999999999" x14ac:dyDescent="0.3">
      <c r="A4" s="461">
        <v>45294</v>
      </c>
      <c r="B4" s="462" t="s">
        <v>454</v>
      </c>
      <c r="C4" s="462" t="s">
        <v>455</v>
      </c>
      <c r="D4" s="463">
        <v>7300</v>
      </c>
      <c r="E4" s="464">
        <v>7300</v>
      </c>
      <c r="G4" s="456">
        <v>1000</v>
      </c>
      <c r="H4" s="454"/>
      <c r="I4" s="456">
        <v>1000</v>
      </c>
      <c r="J4" s="454"/>
      <c r="K4" s="456">
        <v>1000</v>
      </c>
      <c r="L4" s="454"/>
      <c r="M4" s="456">
        <v>1000</v>
      </c>
      <c r="N4" s="454"/>
      <c r="O4" s="456">
        <v>8000</v>
      </c>
    </row>
    <row r="5" spans="1:15" ht="17.399999999999999" x14ac:dyDescent="0.3">
      <c r="A5" s="461">
        <v>45297</v>
      </c>
      <c r="B5" s="462" t="s">
        <v>456</v>
      </c>
      <c r="C5" s="462" t="s">
        <v>457</v>
      </c>
      <c r="D5" s="463">
        <v>7400</v>
      </c>
      <c r="E5" s="464">
        <v>7400</v>
      </c>
      <c r="G5" s="456">
        <v>1000</v>
      </c>
      <c r="H5" s="454"/>
      <c r="I5" s="456">
        <v>1000</v>
      </c>
      <c r="J5" s="454"/>
      <c r="K5" s="456">
        <v>1000</v>
      </c>
      <c r="L5" s="454"/>
      <c r="M5" s="456">
        <v>1000</v>
      </c>
      <c r="N5" s="454"/>
      <c r="O5" s="456">
        <v>7800</v>
      </c>
    </row>
    <row r="6" spans="1:15" ht="17.399999999999999" x14ac:dyDescent="0.3">
      <c r="A6" s="461">
        <v>45297</v>
      </c>
      <c r="B6" s="462" t="s">
        <v>458</v>
      </c>
      <c r="C6" s="462" t="s">
        <v>459</v>
      </c>
      <c r="D6" s="463">
        <v>7800</v>
      </c>
      <c r="E6" s="464">
        <v>7800</v>
      </c>
      <c r="G6" s="456">
        <v>1500</v>
      </c>
      <c r="H6" s="454"/>
      <c r="I6" s="456">
        <v>1500</v>
      </c>
      <c r="J6" s="454"/>
      <c r="K6" s="456">
        <v>1500</v>
      </c>
      <c r="L6" s="454"/>
      <c r="M6" s="456">
        <v>1500</v>
      </c>
      <c r="N6" s="454"/>
      <c r="O6" s="456">
        <v>7400</v>
      </c>
    </row>
    <row r="7" spans="1:15" ht="17.399999999999999" x14ac:dyDescent="0.3">
      <c r="A7" s="461">
        <v>45304</v>
      </c>
      <c r="B7" s="462" t="s">
        <v>105</v>
      </c>
      <c r="C7" s="462" t="s">
        <v>460</v>
      </c>
      <c r="D7" s="463">
        <v>8000</v>
      </c>
      <c r="E7" s="464">
        <v>8000</v>
      </c>
      <c r="G7" s="456">
        <v>2000</v>
      </c>
      <c r="H7" s="454"/>
      <c r="I7" s="456">
        <v>2000</v>
      </c>
      <c r="J7" s="454"/>
      <c r="K7" s="456">
        <v>2000</v>
      </c>
      <c r="L7" s="454"/>
      <c r="M7" s="456">
        <v>2000</v>
      </c>
      <c r="N7" s="454"/>
      <c r="O7" s="456">
        <v>7300</v>
      </c>
    </row>
    <row r="8" spans="1:15" ht="17.399999999999999" x14ac:dyDescent="0.3">
      <c r="A8" s="461">
        <v>45665</v>
      </c>
      <c r="B8" s="462" t="s">
        <v>461</v>
      </c>
      <c r="C8" s="462" t="s">
        <v>462</v>
      </c>
      <c r="D8" s="463">
        <v>8800</v>
      </c>
      <c r="E8" s="464">
        <v>8800</v>
      </c>
      <c r="G8" s="456">
        <v>2200</v>
      </c>
      <c r="H8" s="454"/>
      <c r="I8" s="456">
        <v>2200</v>
      </c>
      <c r="J8" s="454"/>
      <c r="K8" s="456">
        <v>2200</v>
      </c>
      <c r="L8" s="454"/>
      <c r="M8" s="456">
        <v>2300</v>
      </c>
      <c r="N8" s="454"/>
      <c r="O8" s="456">
        <v>7200</v>
      </c>
    </row>
    <row r="9" spans="1:15" ht="17.399999999999999" x14ac:dyDescent="0.3">
      <c r="A9" s="461">
        <v>45972</v>
      </c>
      <c r="B9" s="462" t="s">
        <v>450</v>
      </c>
      <c r="C9" s="462" t="s">
        <v>451</v>
      </c>
      <c r="D9" s="463">
        <v>8900</v>
      </c>
      <c r="E9" s="464">
        <v>8900</v>
      </c>
      <c r="G9" s="456">
        <v>2300</v>
      </c>
      <c r="H9" s="454"/>
      <c r="I9" s="456">
        <v>2300</v>
      </c>
      <c r="J9" s="454"/>
      <c r="K9" s="456">
        <v>2300</v>
      </c>
      <c r="L9" s="454"/>
      <c r="M9" s="456">
        <v>2800</v>
      </c>
      <c r="N9" s="454"/>
      <c r="O9" s="456">
        <v>7000</v>
      </c>
    </row>
    <row r="10" spans="1:15" ht="17.399999999999999" x14ac:dyDescent="0.3">
      <c r="A10" s="461">
        <v>46023</v>
      </c>
      <c r="B10" s="462" t="s">
        <v>454</v>
      </c>
      <c r="C10" s="462" t="s">
        <v>455</v>
      </c>
      <c r="D10" s="463">
        <v>1000</v>
      </c>
      <c r="E10" s="464">
        <v>1000</v>
      </c>
      <c r="G10" s="456">
        <v>2800</v>
      </c>
      <c r="H10" s="454"/>
      <c r="I10" s="456">
        <v>2800</v>
      </c>
      <c r="J10" s="454"/>
      <c r="K10" s="456">
        <v>2800</v>
      </c>
      <c r="L10" s="454"/>
      <c r="M10" s="456">
        <v>3300</v>
      </c>
      <c r="N10" s="454"/>
      <c r="O10" s="456">
        <v>6600</v>
      </c>
    </row>
    <row r="11" spans="1:15" ht="17.399999999999999" x14ac:dyDescent="0.3">
      <c r="A11" s="461">
        <v>46023</v>
      </c>
      <c r="B11" s="462" t="s">
        <v>456</v>
      </c>
      <c r="C11" s="462" t="s">
        <v>457</v>
      </c>
      <c r="D11" s="463">
        <v>1000</v>
      </c>
      <c r="E11" s="464">
        <v>1000</v>
      </c>
      <c r="G11" s="456">
        <v>3000</v>
      </c>
      <c r="H11" s="454"/>
      <c r="I11" s="456">
        <v>3000</v>
      </c>
      <c r="J11" s="454"/>
      <c r="K11" s="456">
        <v>3000</v>
      </c>
      <c r="L11" s="454"/>
      <c r="M11" s="456">
        <v>3330</v>
      </c>
      <c r="N11" s="454"/>
      <c r="O11" s="456">
        <v>6000</v>
      </c>
    </row>
    <row r="12" spans="1:15" ht="17.399999999999999" x14ac:dyDescent="0.3">
      <c r="A12" s="461">
        <v>46025</v>
      </c>
      <c r="B12" s="462" t="s">
        <v>458</v>
      </c>
      <c r="C12" s="462" t="s">
        <v>459</v>
      </c>
      <c r="D12" s="463">
        <v>1000</v>
      </c>
      <c r="E12" s="464">
        <v>1000</v>
      </c>
      <c r="G12" s="456">
        <v>3330</v>
      </c>
      <c r="H12" s="454"/>
      <c r="I12" s="456">
        <v>3300</v>
      </c>
      <c r="J12" s="454"/>
      <c r="K12" s="456">
        <v>3300</v>
      </c>
      <c r="L12" s="454"/>
      <c r="M12" s="456">
        <v>3700</v>
      </c>
      <c r="N12" s="454"/>
      <c r="O12" s="456">
        <v>5900</v>
      </c>
    </row>
    <row r="13" spans="1:15" ht="17.399999999999999" x14ac:dyDescent="0.3">
      <c r="A13" s="461">
        <v>46028</v>
      </c>
      <c r="B13" s="462" t="s">
        <v>105</v>
      </c>
      <c r="C13" s="462" t="s">
        <v>460</v>
      </c>
      <c r="D13" s="463">
        <v>1000</v>
      </c>
      <c r="E13" s="464">
        <v>1000</v>
      </c>
      <c r="G13" s="456">
        <v>3700</v>
      </c>
      <c r="H13" s="454"/>
      <c r="I13" s="456">
        <v>3330</v>
      </c>
      <c r="J13" s="454"/>
      <c r="K13" s="456">
        <v>7000</v>
      </c>
      <c r="L13" s="454"/>
      <c r="M13" s="456">
        <v>4000</v>
      </c>
      <c r="N13" s="454"/>
      <c r="O13" s="456">
        <v>5700</v>
      </c>
    </row>
    <row r="14" spans="1:15" ht="17.399999999999999" x14ac:dyDescent="0.3">
      <c r="A14" s="461">
        <v>46028</v>
      </c>
      <c r="B14" s="462" t="s">
        <v>461</v>
      </c>
      <c r="C14" s="462" t="s">
        <v>462</v>
      </c>
      <c r="D14" s="463">
        <v>1200</v>
      </c>
      <c r="E14" s="464">
        <v>1500</v>
      </c>
      <c r="G14" s="456">
        <v>4000</v>
      </c>
      <c r="H14" s="454"/>
      <c r="I14" s="456">
        <v>3700</v>
      </c>
      <c r="J14" s="454"/>
      <c r="K14" s="456">
        <v>3700</v>
      </c>
      <c r="L14" s="454"/>
      <c r="M14" s="456">
        <v>4000</v>
      </c>
      <c r="N14" s="454"/>
      <c r="O14" s="456">
        <v>5500</v>
      </c>
    </row>
    <row r="15" spans="1:15" ht="17.399999999999999" x14ac:dyDescent="0.3">
      <c r="A15" s="461">
        <v>46029</v>
      </c>
      <c r="B15" s="462" t="s">
        <v>450</v>
      </c>
      <c r="C15" s="462" t="s">
        <v>451</v>
      </c>
      <c r="D15" s="463">
        <v>1500</v>
      </c>
      <c r="E15" s="464">
        <v>2000</v>
      </c>
      <c r="G15" s="456">
        <v>4000</v>
      </c>
      <c r="H15" s="454"/>
      <c r="I15" s="456">
        <v>4000</v>
      </c>
      <c r="J15" s="454"/>
      <c r="K15" s="456">
        <v>4000</v>
      </c>
      <c r="L15" s="454"/>
      <c r="M15" s="456">
        <v>4000</v>
      </c>
      <c r="N15" s="454"/>
      <c r="O15" s="456">
        <v>5300</v>
      </c>
    </row>
    <row r="16" spans="1:15" ht="17.399999999999999" x14ac:dyDescent="0.3">
      <c r="A16" s="461">
        <v>46029</v>
      </c>
      <c r="B16" s="462" t="s">
        <v>452</v>
      </c>
      <c r="C16" s="462" t="s">
        <v>453</v>
      </c>
      <c r="D16" s="463">
        <v>2000</v>
      </c>
      <c r="E16" s="464">
        <v>2200</v>
      </c>
      <c r="G16" s="456">
        <v>4200</v>
      </c>
      <c r="H16" s="454"/>
      <c r="I16" s="456">
        <v>4000</v>
      </c>
      <c r="J16" s="454"/>
      <c r="K16" s="456">
        <v>4000</v>
      </c>
      <c r="L16" s="454"/>
      <c r="M16" s="456">
        <v>4200</v>
      </c>
      <c r="N16" s="454"/>
      <c r="O16" s="456">
        <v>5200</v>
      </c>
    </row>
    <row r="17" spans="1:15" ht="17.399999999999999" x14ac:dyDescent="0.3">
      <c r="A17" s="461">
        <v>46030</v>
      </c>
      <c r="B17" s="462" t="s">
        <v>452</v>
      </c>
      <c r="C17" s="462" t="s">
        <v>453</v>
      </c>
      <c r="D17" s="463">
        <v>2200</v>
      </c>
      <c r="E17" s="464">
        <v>2300</v>
      </c>
      <c r="G17" s="456">
        <v>4500</v>
      </c>
      <c r="H17" s="454"/>
      <c r="I17" s="456">
        <v>4000</v>
      </c>
      <c r="J17" s="454"/>
      <c r="K17" s="456">
        <v>4000</v>
      </c>
      <c r="L17" s="454"/>
      <c r="M17" s="456">
        <v>4500</v>
      </c>
      <c r="N17" s="454"/>
      <c r="O17" s="456">
        <v>5000</v>
      </c>
    </row>
    <row r="18" spans="1:15" ht="17.399999999999999" x14ac:dyDescent="0.3">
      <c r="A18" s="461">
        <v>46032</v>
      </c>
      <c r="B18" s="462" t="s">
        <v>456</v>
      </c>
      <c r="C18" s="462" t="s">
        <v>457</v>
      </c>
      <c r="D18" s="463">
        <v>2800</v>
      </c>
      <c r="E18" s="464">
        <v>3000</v>
      </c>
      <c r="G18" s="456">
        <v>5000</v>
      </c>
      <c r="H18" s="454"/>
      <c r="I18" s="456">
        <v>4200</v>
      </c>
      <c r="J18" s="454"/>
      <c r="K18" s="456">
        <v>4200</v>
      </c>
      <c r="L18" s="454"/>
      <c r="M18" s="456">
        <v>4700</v>
      </c>
      <c r="N18" s="454"/>
      <c r="O18" s="456">
        <v>4700</v>
      </c>
    </row>
    <row r="19" spans="1:15" ht="17.399999999999999" x14ac:dyDescent="0.3">
      <c r="A19" s="461">
        <v>46032</v>
      </c>
      <c r="B19" s="462" t="s">
        <v>454</v>
      </c>
      <c r="C19" s="462" t="s">
        <v>455</v>
      </c>
      <c r="D19" s="463">
        <v>6300</v>
      </c>
      <c r="E19" s="464">
        <v>2800</v>
      </c>
      <c r="G19" s="456">
        <v>5100</v>
      </c>
      <c r="H19" s="454"/>
      <c r="I19" s="456">
        <v>4500</v>
      </c>
      <c r="J19" s="454"/>
      <c r="K19" s="456">
        <v>4500</v>
      </c>
      <c r="L19" s="454"/>
      <c r="M19" s="456">
        <v>5000</v>
      </c>
      <c r="N19" s="454"/>
      <c r="O19" s="456">
        <v>4500</v>
      </c>
    </row>
    <row r="20" spans="1:15" ht="17.399999999999999" x14ac:dyDescent="0.3">
      <c r="A20" s="461">
        <v>46033</v>
      </c>
      <c r="B20" s="462" t="s">
        <v>458</v>
      </c>
      <c r="C20" s="462" t="s">
        <v>459</v>
      </c>
      <c r="D20" s="463">
        <v>3000</v>
      </c>
      <c r="E20" s="464">
        <v>3300</v>
      </c>
      <c r="G20" s="456">
        <v>5200</v>
      </c>
      <c r="H20" s="454"/>
      <c r="I20" s="456">
        <v>5000</v>
      </c>
      <c r="J20" s="454"/>
      <c r="K20" s="456">
        <v>4700</v>
      </c>
      <c r="L20" s="454"/>
      <c r="M20" s="456">
        <v>5200</v>
      </c>
      <c r="N20" s="454"/>
      <c r="O20" s="456">
        <v>4200</v>
      </c>
    </row>
    <row r="21" spans="1:15" ht="17.399999999999999" x14ac:dyDescent="0.3">
      <c r="A21" s="461">
        <v>46033</v>
      </c>
      <c r="B21" s="462" t="s">
        <v>105</v>
      </c>
      <c r="C21" s="462" t="s">
        <v>460</v>
      </c>
      <c r="D21" s="463">
        <v>3300</v>
      </c>
      <c r="E21" s="464">
        <v>3330</v>
      </c>
      <c r="G21" s="456">
        <v>5300</v>
      </c>
      <c r="H21" s="454"/>
      <c r="I21" s="456">
        <v>5200</v>
      </c>
      <c r="J21" s="454"/>
      <c r="K21" s="456">
        <v>5000</v>
      </c>
      <c r="L21" s="454"/>
      <c r="M21" s="456">
        <v>5300</v>
      </c>
      <c r="N21" s="454"/>
      <c r="O21" s="456">
        <v>4000</v>
      </c>
    </row>
    <row r="22" spans="1:15" ht="17.399999999999999" x14ac:dyDescent="0.3">
      <c r="A22" s="461">
        <v>46035</v>
      </c>
      <c r="B22" s="462" t="s">
        <v>461</v>
      </c>
      <c r="C22" s="462" t="s">
        <v>462</v>
      </c>
      <c r="D22" s="463">
        <v>3330</v>
      </c>
      <c r="E22" s="464">
        <v>3700</v>
      </c>
      <c r="G22" s="456">
        <v>5500</v>
      </c>
      <c r="H22" s="454"/>
      <c r="I22" s="456">
        <v>5300</v>
      </c>
      <c r="J22" s="454"/>
      <c r="K22" s="456">
        <v>5200</v>
      </c>
      <c r="L22" s="454"/>
      <c r="M22" s="456">
        <v>5500</v>
      </c>
      <c r="N22" s="454"/>
      <c r="O22" s="456">
        <v>4000</v>
      </c>
    </row>
    <row r="23" spans="1:15" ht="17.399999999999999" x14ac:dyDescent="0.3">
      <c r="A23" s="461">
        <v>46037</v>
      </c>
      <c r="B23" s="462" t="s">
        <v>452</v>
      </c>
      <c r="C23" s="462" t="s">
        <v>453</v>
      </c>
      <c r="D23" s="463">
        <v>3700</v>
      </c>
      <c r="E23" s="464">
        <v>4000</v>
      </c>
      <c r="G23" s="456">
        <v>5700</v>
      </c>
      <c r="H23" s="454"/>
      <c r="I23" s="456">
        <v>2200</v>
      </c>
      <c r="J23" s="454"/>
      <c r="K23" s="456">
        <v>5300</v>
      </c>
      <c r="L23" s="454"/>
      <c r="M23" s="456">
        <v>5700</v>
      </c>
      <c r="N23" s="454"/>
      <c r="O23" s="456">
        <v>4000</v>
      </c>
    </row>
    <row r="24" spans="1:15" ht="17.399999999999999" x14ac:dyDescent="0.3">
      <c r="A24" s="461">
        <v>46037</v>
      </c>
      <c r="B24" s="462" t="s">
        <v>450</v>
      </c>
      <c r="C24" s="462" t="s">
        <v>451</v>
      </c>
      <c r="D24" s="463">
        <v>7500</v>
      </c>
      <c r="E24" s="464">
        <v>4000</v>
      </c>
      <c r="G24" s="456">
        <v>5900</v>
      </c>
      <c r="H24" s="454"/>
      <c r="I24" s="456">
        <v>5700</v>
      </c>
      <c r="J24" s="454"/>
      <c r="K24" s="456">
        <v>5500</v>
      </c>
      <c r="L24" s="454"/>
      <c r="M24" s="456">
        <v>5900</v>
      </c>
      <c r="N24" s="454"/>
      <c r="O24" s="456">
        <v>3700</v>
      </c>
    </row>
    <row r="25" spans="1:15" ht="17.399999999999999" x14ac:dyDescent="0.3">
      <c r="A25" s="461">
        <v>46042</v>
      </c>
      <c r="B25" s="462" t="s">
        <v>456</v>
      </c>
      <c r="C25" s="462" t="s">
        <v>457</v>
      </c>
      <c r="D25" s="463">
        <v>4000</v>
      </c>
      <c r="E25" s="464">
        <v>4200</v>
      </c>
      <c r="G25" s="456">
        <v>6000</v>
      </c>
      <c r="H25" s="454"/>
      <c r="I25" s="456">
        <v>6000</v>
      </c>
      <c r="J25" s="454"/>
      <c r="K25" s="456">
        <v>5700</v>
      </c>
      <c r="L25" s="454"/>
      <c r="M25" s="456">
        <v>6000</v>
      </c>
      <c r="N25" s="454"/>
      <c r="O25" s="456">
        <v>3330</v>
      </c>
    </row>
    <row r="26" spans="1:15" ht="17.399999999999999" x14ac:dyDescent="0.3">
      <c r="A26" s="461">
        <v>46042</v>
      </c>
      <c r="B26" s="462" t="s">
        <v>454</v>
      </c>
      <c r="C26" s="462" t="s">
        <v>455</v>
      </c>
      <c r="D26" s="463">
        <v>9000</v>
      </c>
      <c r="E26" s="464">
        <v>4000</v>
      </c>
      <c r="G26" s="456">
        <v>6000</v>
      </c>
      <c r="H26" s="454"/>
      <c r="I26" s="456">
        <v>6600</v>
      </c>
      <c r="J26" s="454"/>
      <c r="K26" s="456">
        <v>5900</v>
      </c>
      <c r="L26" s="454"/>
      <c r="M26" s="456">
        <v>6600</v>
      </c>
      <c r="N26" s="454"/>
      <c r="O26" s="456">
        <v>3300</v>
      </c>
    </row>
    <row r="27" spans="1:15" ht="17.399999999999999" x14ac:dyDescent="0.3">
      <c r="A27" s="461">
        <v>46152</v>
      </c>
      <c r="B27" s="462" t="s">
        <v>458</v>
      </c>
      <c r="C27" s="462" t="s">
        <v>459</v>
      </c>
      <c r="D27" s="463">
        <v>4000</v>
      </c>
      <c r="E27" s="464">
        <v>4500</v>
      </c>
      <c r="G27" s="456">
        <v>6600</v>
      </c>
      <c r="H27" s="454"/>
      <c r="I27" s="456">
        <v>7000</v>
      </c>
      <c r="J27" s="454"/>
      <c r="K27" s="456">
        <v>6000</v>
      </c>
      <c r="L27" s="454"/>
      <c r="M27" s="456">
        <v>7000</v>
      </c>
      <c r="N27" s="454"/>
      <c r="O27" s="456">
        <v>3000</v>
      </c>
    </row>
    <row r="28" spans="1:15" ht="17.399999999999999" x14ac:dyDescent="0.3">
      <c r="A28" s="461">
        <v>46152</v>
      </c>
      <c r="B28" s="462" t="s">
        <v>105</v>
      </c>
      <c r="C28" s="462" t="s">
        <v>460</v>
      </c>
      <c r="D28" s="463">
        <v>4200</v>
      </c>
      <c r="E28" s="464">
        <v>4700</v>
      </c>
      <c r="G28" s="456">
        <v>7000</v>
      </c>
      <c r="H28" s="454"/>
      <c r="I28" s="456">
        <v>7200</v>
      </c>
      <c r="J28" s="454"/>
      <c r="K28" s="456">
        <v>6600</v>
      </c>
      <c r="L28" s="454"/>
      <c r="M28" s="456">
        <v>7200</v>
      </c>
      <c r="N28" s="454"/>
      <c r="O28" s="456">
        <v>2800</v>
      </c>
    </row>
    <row r="29" spans="1:15" ht="17.399999999999999" x14ac:dyDescent="0.3">
      <c r="A29" s="461">
        <v>46159</v>
      </c>
      <c r="B29" s="462" t="s">
        <v>461</v>
      </c>
      <c r="C29" s="462" t="s">
        <v>462</v>
      </c>
      <c r="D29" s="463">
        <v>4500</v>
      </c>
      <c r="E29" s="464">
        <v>5000</v>
      </c>
      <c r="G29" s="456">
        <v>7200</v>
      </c>
      <c r="H29" s="454"/>
      <c r="I29" s="456">
        <v>7300</v>
      </c>
      <c r="J29" s="454"/>
      <c r="K29" s="456">
        <v>7000</v>
      </c>
      <c r="L29" s="454"/>
      <c r="M29" s="456">
        <v>7300</v>
      </c>
      <c r="N29" s="454"/>
      <c r="O29" s="456">
        <v>2300</v>
      </c>
    </row>
    <row r="30" spans="1:15" ht="17.399999999999999" x14ac:dyDescent="0.3">
      <c r="A30" s="461">
        <v>46159</v>
      </c>
      <c r="B30" s="462" t="s">
        <v>450</v>
      </c>
      <c r="C30" s="462" t="s">
        <v>451</v>
      </c>
      <c r="D30" s="463">
        <v>4700</v>
      </c>
      <c r="E30" s="464">
        <v>5200</v>
      </c>
      <c r="G30" s="456">
        <v>7300</v>
      </c>
      <c r="H30" s="454"/>
      <c r="I30" s="456">
        <v>7400</v>
      </c>
      <c r="J30" s="454"/>
      <c r="K30" s="456">
        <v>7200</v>
      </c>
      <c r="L30" s="454"/>
      <c r="M30" s="456">
        <v>7400</v>
      </c>
      <c r="N30" s="454"/>
      <c r="O30" s="456">
        <v>2200</v>
      </c>
    </row>
    <row r="31" spans="1:15" ht="17.399999999999999" x14ac:dyDescent="0.3">
      <c r="A31" s="461">
        <v>46222</v>
      </c>
      <c r="B31" s="462" t="s">
        <v>452</v>
      </c>
      <c r="C31" s="462" t="s">
        <v>453</v>
      </c>
      <c r="D31" s="463">
        <v>5000</v>
      </c>
      <c r="E31" s="464">
        <v>5300</v>
      </c>
      <c r="G31" s="456">
        <v>7400</v>
      </c>
      <c r="H31" s="454"/>
      <c r="I31" s="456">
        <v>7700</v>
      </c>
      <c r="J31" s="454"/>
      <c r="K31" s="456">
        <v>7300</v>
      </c>
      <c r="L31" s="454"/>
      <c r="M31" s="456">
        <v>7800</v>
      </c>
      <c r="N31" s="454"/>
      <c r="O31" s="456">
        <v>2000</v>
      </c>
    </row>
    <row r="32" spans="1:15" ht="17.399999999999999" x14ac:dyDescent="0.3">
      <c r="A32" s="461">
        <v>46222</v>
      </c>
      <c r="B32" s="462" t="s">
        <v>454</v>
      </c>
      <c r="C32" s="462" t="s">
        <v>455</v>
      </c>
      <c r="D32" s="463">
        <v>5200</v>
      </c>
      <c r="E32" s="464">
        <v>5500</v>
      </c>
      <c r="G32" s="456">
        <v>7800</v>
      </c>
      <c r="H32" s="454"/>
      <c r="I32" s="456">
        <v>7800</v>
      </c>
      <c r="J32" s="454"/>
      <c r="K32" s="456">
        <v>3000</v>
      </c>
      <c r="L32" s="454"/>
      <c r="M32" s="456">
        <v>8000</v>
      </c>
      <c r="N32" s="454"/>
      <c r="O32" s="456">
        <v>1500</v>
      </c>
    </row>
    <row r="33" spans="1:15" ht="17.399999999999999" x14ac:dyDescent="0.3">
      <c r="A33" s="461">
        <v>46247</v>
      </c>
      <c r="B33" s="462" t="s">
        <v>456</v>
      </c>
      <c r="C33" s="462" t="s">
        <v>457</v>
      </c>
      <c r="D33" s="463">
        <v>5300</v>
      </c>
      <c r="E33" s="464">
        <v>5700</v>
      </c>
      <c r="G33" s="456">
        <v>8000</v>
      </c>
      <c r="H33" s="454"/>
      <c r="I33" s="456">
        <v>8000</v>
      </c>
      <c r="J33" s="454"/>
      <c r="K33" s="456">
        <v>7800</v>
      </c>
      <c r="L33" s="454"/>
      <c r="M33" s="456">
        <v>8000</v>
      </c>
      <c r="N33" s="454"/>
      <c r="O33" s="456">
        <v>1000</v>
      </c>
    </row>
    <row r="34" spans="1:15" ht="17.399999999999999" x14ac:dyDescent="0.3">
      <c r="A34" s="461">
        <v>46247</v>
      </c>
      <c r="B34" s="462" t="s">
        <v>458</v>
      </c>
      <c r="C34" s="462" t="s">
        <v>459</v>
      </c>
      <c r="D34" s="463">
        <v>5700</v>
      </c>
      <c r="E34" s="464">
        <v>5900</v>
      </c>
      <c r="G34" s="456">
        <v>8300</v>
      </c>
      <c r="H34" s="454"/>
      <c r="I34" s="456">
        <v>4500</v>
      </c>
      <c r="J34" s="454"/>
      <c r="K34" s="456">
        <v>8000</v>
      </c>
      <c r="L34" s="454"/>
      <c r="M34" s="456">
        <v>8800</v>
      </c>
      <c r="N34" s="454"/>
      <c r="O34" s="456">
        <v>1000</v>
      </c>
    </row>
    <row r="35" spans="1:15" ht="17.399999999999999" x14ac:dyDescent="0.3">
      <c r="A35" s="461">
        <v>46334</v>
      </c>
      <c r="B35" s="462" t="s">
        <v>105</v>
      </c>
      <c r="C35" s="462" t="s">
        <v>460</v>
      </c>
      <c r="D35" s="463">
        <v>5900</v>
      </c>
      <c r="E35" s="464">
        <v>6000</v>
      </c>
      <c r="G35" s="456">
        <v>8800</v>
      </c>
      <c r="H35" s="454"/>
      <c r="I35" s="456">
        <v>8900</v>
      </c>
      <c r="J35" s="454"/>
      <c r="K35" s="456">
        <v>8800</v>
      </c>
      <c r="L35" s="454"/>
      <c r="M35" s="456">
        <v>8900</v>
      </c>
      <c r="N35" s="454"/>
      <c r="O35" s="456">
        <v>1000</v>
      </c>
    </row>
    <row r="36" spans="1:15" ht="17.399999999999999" x14ac:dyDescent="0.3">
      <c r="A36" s="465">
        <v>46341</v>
      </c>
      <c r="B36" s="466" t="s">
        <v>461</v>
      </c>
      <c r="C36" s="466" t="s">
        <v>462</v>
      </c>
      <c r="D36" s="467">
        <v>6000</v>
      </c>
      <c r="E36" s="468">
        <v>6600</v>
      </c>
      <c r="G36" s="456">
        <v>8900</v>
      </c>
      <c r="H36" s="454"/>
      <c r="I36" s="456">
        <v>10000</v>
      </c>
      <c r="J36" s="454"/>
      <c r="K36" s="456">
        <v>8900</v>
      </c>
      <c r="L36" s="454"/>
      <c r="M36" s="456">
        <v>9200</v>
      </c>
      <c r="N36" s="454"/>
      <c r="O36" s="456">
        <v>1000</v>
      </c>
    </row>
    <row r="37" spans="1:15" ht="18" x14ac:dyDescent="0.3">
      <c r="A37" s="452"/>
      <c r="B37" s="452"/>
      <c r="C37" s="452"/>
      <c r="D37" s="452"/>
      <c r="E37" s="453"/>
    </row>
    <row r="39" spans="1:15" ht="18" x14ac:dyDescent="0.3">
      <c r="B39" s="455" t="s">
        <v>121</v>
      </c>
      <c r="C39" s="454"/>
      <c r="D39" s="455" t="s">
        <v>448</v>
      </c>
      <c r="E39" s="454"/>
      <c r="F39" s="455" t="s">
        <v>448</v>
      </c>
      <c r="G39" s="454"/>
      <c r="H39" s="455" t="s">
        <v>448</v>
      </c>
      <c r="I39" s="454"/>
      <c r="J39" s="455" t="s">
        <v>448</v>
      </c>
      <c r="K39" s="454"/>
      <c r="L39" s="455" t="s">
        <v>448</v>
      </c>
      <c r="M39" s="454"/>
    </row>
    <row r="40" spans="1:15" ht="17.399999999999999" x14ac:dyDescent="0.3">
      <c r="B40" s="457" t="s">
        <v>455</v>
      </c>
      <c r="C40" s="454"/>
      <c r="D40" s="456">
        <v>8900</v>
      </c>
      <c r="E40" s="454"/>
      <c r="F40" s="456">
        <v>1000</v>
      </c>
      <c r="G40" s="454"/>
      <c r="H40" s="456">
        <v>1000</v>
      </c>
      <c r="I40" s="454"/>
      <c r="J40" s="456">
        <v>1000</v>
      </c>
      <c r="K40" s="454"/>
      <c r="L40" s="456">
        <v>5900</v>
      </c>
      <c r="M40" s="454"/>
    </row>
    <row r="41" spans="1:15" ht="17.399999999999999" x14ac:dyDescent="0.3">
      <c r="B41" s="457" t="s">
        <v>457</v>
      </c>
      <c r="C41" s="454"/>
      <c r="D41" s="456">
        <v>8800</v>
      </c>
      <c r="E41" s="454"/>
      <c r="F41" s="456">
        <v>1000</v>
      </c>
      <c r="G41" s="454"/>
      <c r="H41" s="456">
        <v>1000</v>
      </c>
      <c r="I41" s="454"/>
      <c r="J41" s="456">
        <v>1000</v>
      </c>
      <c r="K41" s="454"/>
      <c r="L41" s="456">
        <v>1000</v>
      </c>
      <c r="M41" s="454"/>
    </row>
    <row r="42" spans="1:15" ht="17.399999999999999" x14ac:dyDescent="0.3">
      <c r="B42" s="457" t="s">
        <v>459</v>
      </c>
      <c r="C42" s="454"/>
      <c r="D42" s="456">
        <v>8300</v>
      </c>
      <c r="E42" s="454"/>
      <c r="F42" s="456">
        <v>1000</v>
      </c>
      <c r="G42" s="454"/>
      <c r="H42" s="456">
        <v>1500</v>
      </c>
      <c r="I42" s="454"/>
      <c r="J42" s="456">
        <v>1000</v>
      </c>
      <c r="K42" s="454"/>
      <c r="L42" s="456">
        <v>6000</v>
      </c>
      <c r="M42" s="454"/>
    </row>
    <row r="43" spans="1:15" ht="17.399999999999999" x14ac:dyDescent="0.3">
      <c r="B43" s="457" t="s">
        <v>460</v>
      </c>
      <c r="C43" s="454"/>
      <c r="D43" s="456">
        <v>8000</v>
      </c>
      <c r="E43" s="454"/>
      <c r="F43" s="456">
        <v>1000</v>
      </c>
      <c r="G43" s="454"/>
      <c r="H43" s="456">
        <v>2000</v>
      </c>
      <c r="I43" s="454"/>
      <c r="J43" s="456">
        <v>1000</v>
      </c>
      <c r="K43" s="454"/>
      <c r="L43" s="456">
        <v>1000</v>
      </c>
      <c r="M43" s="454"/>
    </row>
    <row r="44" spans="1:15" ht="17.399999999999999" x14ac:dyDescent="0.3">
      <c r="B44" s="457" t="s">
        <v>462</v>
      </c>
      <c r="C44" s="454"/>
      <c r="D44" s="456">
        <v>7800</v>
      </c>
      <c r="E44" s="454"/>
      <c r="F44" s="456">
        <v>1500</v>
      </c>
      <c r="G44" s="454"/>
      <c r="H44" s="456">
        <v>2200</v>
      </c>
      <c r="I44" s="454"/>
      <c r="J44" s="456">
        <v>1500</v>
      </c>
      <c r="K44" s="454"/>
      <c r="L44" s="456">
        <v>1000</v>
      </c>
      <c r="M44" s="454"/>
    </row>
    <row r="45" spans="1:15" ht="17.399999999999999" x14ac:dyDescent="0.3">
      <c r="B45" s="457" t="s">
        <v>451</v>
      </c>
      <c r="C45" s="454"/>
      <c r="D45" s="456">
        <v>7400</v>
      </c>
      <c r="E45" s="454"/>
      <c r="F45" s="456">
        <v>2000</v>
      </c>
      <c r="G45" s="454"/>
      <c r="H45" s="456">
        <v>2300</v>
      </c>
      <c r="I45" s="454"/>
      <c r="J45" s="456">
        <v>2000</v>
      </c>
      <c r="K45" s="454"/>
      <c r="L45" s="456">
        <v>3000</v>
      </c>
      <c r="M45" s="454"/>
    </row>
    <row r="46" spans="1:15" ht="17.399999999999999" x14ac:dyDescent="0.3">
      <c r="B46" s="457" t="s">
        <v>453</v>
      </c>
      <c r="C46" s="454"/>
      <c r="D46" s="456">
        <v>7300</v>
      </c>
      <c r="E46" s="454"/>
      <c r="F46" s="456">
        <v>2200</v>
      </c>
      <c r="G46" s="454"/>
      <c r="H46" s="456">
        <v>2500</v>
      </c>
      <c r="I46" s="454"/>
      <c r="J46" s="456">
        <v>2200</v>
      </c>
      <c r="K46" s="454"/>
      <c r="L46" s="456">
        <v>1500</v>
      </c>
      <c r="M46" s="454"/>
    </row>
    <row r="47" spans="1:15" ht="17.399999999999999" x14ac:dyDescent="0.3">
      <c r="B47" s="457" t="s">
        <v>453</v>
      </c>
      <c r="C47" s="454"/>
      <c r="D47" s="456">
        <v>7200</v>
      </c>
      <c r="E47" s="454"/>
      <c r="F47" s="456">
        <v>2300</v>
      </c>
      <c r="G47" s="454"/>
      <c r="H47" s="456">
        <v>2800</v>
      </c>
      <c r="I47" s="454"/>
      <c r="J47" s="456">
        <v>2300</v>
      </c>
      <c r="K47" s="454"/>
      <c r="L47" s="456">
        <v>2000</v>
      </c>
      <c r="M47" s="454"/>
    </row>
    <row r="48" spans="1:15" ht="17.399999999999999" x14ac:dyDescent="0.3">
      <c r="B48" s="457" t="s">
        <v>455</v>
      </c>
      <c r="C48" s="454"/>
      <c r="D48" s="456">
        <v>7000</v>
      </c>
      <c r="E48" s="454"/>
      <c r="F48" s="456">
        <v>2800</v>
      </c>
      <c r="G48" s="454"/>
      <c r="H48" s="456">
        <v>3000</v>
      </c>
      <c r="I48" s="454"/>
      <c r="J48" s="456">
        <v>2800</v>
      </c>
      <c r="K48" s="454"/>
      <c r="L48" s="456">
        <v>2200</v>
      </c>
      <c r="M48" s="454"/>
    </row>
    <row r="49" spans="2:13" ht="17.399999999999999" x14ac:dyDescent="0.3">
      <c r="B49" s="457" t="s">
        <v>457</v>
      </c>
      <c r="C49" s="454"/>
      <c r="D49" s="456">
        <v>6600</v>
      </c>
      <c r="E49" s="454"/>
      <c r="F49" s="456">
        <v>3000</v>
      </c>
      <c r="G49" s="454"/>
      <c r="H49" s="456">
        <v>3000</v>
      </c>
      <c r="I49" s="454"/>
      <c r="J49" s="456">
        <v>3000</v>
      </c>
      <c r="K49" s="454"/>
      <c r="L49" s="456">
        <v>2300</v>
      </c>
      <c r="M49" s="454"/>
    </row>
    <row r="50" spans="2:13" ht="17.399999999999999" x14ac:dyDescent="0.3">
      <c r="B50" s="457" t="s">
        <v>459</v>
      </c>
      <c r="C50" s="454"/>
      <c r="D50" s="456">
        <v>6000</v>
      </c>
      <c r="E50" s="454"/>
      <c r="F50" s="456">
        <v>3330</v>
      </c>
      <c r="G50" s="454"/>
      <c r="H50" s="456">
        <v>3330</v>
      </c>
      <c r="I50" s="454"/>
      <c r="J50" s="456">
        <v>3330</v>
      </c>
      <c r="K50" s="454"/>
      <c r="L50" s="456">
        <v>2800</v>
      </c>
      <c r="M50" s="454"/>
    </row>
    <row r="51" spans="2:13" ht="17.399999999999999" x14ac:dyDescent="0.3">
      <c r="B51" s="457" t="s">
        <v>460</v>
      </c>
      <c r="C51" s="454"/>
      <c r="D51" s="456">
        <v>6000</v>
      </c>
      <c r="E51" s="454"/>
      <c r="F51" s="456">
        <v>3700</v>
      </c>
      <c r="G51" s="454"/>
      <c r="H51" s="456">
        <v>3700</v>
      </c>
      <c r="I51" s="454"/>
      <c r="J51" s="456">
        <v>3700</v>
      </c>
      <c r="K51" s="454"/>
      <c r="L51" s="456">
        <v>3000</v>
      </c>
      <c r="M51" s="454"/>
    </row>
    <row r="52" spans="2:13" ht="17.399999999999999" x14ac:dyDescent="0.3">
      <c r="B52" s="457" t="s">
        <v>462</v>
      </c>
      <c r="C52" s="454"/>
      <c r="D52" s="456">
        <v>5900</v>
      </c>
      <c r="E52" s="454"/>
      <c r="F52" s="456">
        <v>4000</v>
      </c>
      <c r="G52" s="454"/>
      <c r="H52" s="456">
        <v>4000</v>
      </c>
      <c r="I52" s="454"/>
      <c r="J52" s="456">
        <v>4000</v>
      </c>
      <c r="K52" s="454"/>
      <c r="L52" s="456">
        <v>8300</v>
      </c>
      <c r="M52" s="454"/>
    </row>
    <row r="53" spans="2:13" ht="17.399999999999999" x14ac:dyDescent="0.3">
      <c r="B53" s="457" t="s">
        <v>451</v>
      </c>
      <c r="C53" s="454"/>
      <c r="D53" s="456">
        <v>5700</v>
      </c>
      <c r="E53" s="454"/>
      <c r="F53" s="456">
        <v>4000</v>
      </c>
      <c r="G53" s="454"/>
      <c r="H53" s="456">
        <v>4000</v>
      </c>
      <c r="I53" s="454"/>
      <c r="J53" s="456">
        <v>4000</v>
      </c>
      <c r="K53" s="454"/>
      <c r="L53" s="456">
        <v>3330</v>
      </c>
      <c r="M53" s="454"/>
    </row>
    <row r="54" spans="2:13" ht="17.399999999999999" x14ac:dyDescent="0.3">
      <c r="B54" s="457" t="s">
        <v>453</v>
      </c>
      <c r="C54" s="454"/>
      <c r="D54" s="456">
        <v>5500</v>
      </c>
      <c r="E54" s="454"/>
      <c r="F54" s="456">
        <v>4200</v>
      </c>
      <c r="G54" s="454"/>
      <c r="H54" s="456">
        <v>4200</v>
      </c>
      <c r="I54" s="454"/>
      <c r="J54" s="456">
        <v>4200</v>
      </c>
      <c r="K54" s="454"/>
      <c r="L54" s="456">
        <v>5500</v>
      </c>
      <c r="M54" s="454"/>
    </row>
    <row r="55" spans="2:13" ht="17.399999999999999" x14ac:dyDescent="0.3">
      <c r="B55" s="457" t="s">
        <v>455</v>
      </c>
      <c r="C55" s="454"/>
      <c r="D55" s="456">
        <v>5300</v>
      </c>
      <c r="E55" s="454"/>
      <c r="F55" s="456">
        <v>4500</v>
      </c>
      <c r="G55" s="454"/>
      <c r="H55" s="456">
        <v>4500</v>
      </c>
      <c r="I55" s="454"/>
      <c r="J55" s="456">
        <v>4500</v>
      </c>
      <c r="K55" s="454"/>
      <c r="L55" s="456">
        <v>3700</v>
      </c>
      <c r="M55" s="454"/>
    </row>
    <row r="56" spans="2:13" ht="17.399999999999999" x14ac:dyDescent="0.3">
      <c r="B56" s="457" t="s">
        <v>457</v>
      </c>
      <c r="C56" s="454"/>
      <c r="D56" s="456">
        <v>5200</v>
      </c>
      <c r="E56" s="454"/>
      <c r="F56" s="456">
        <v>5000</v>
      </c>
      <c r="G56" s="454"/>
      <c r="H56" s="456">
        <v>5000</v>
      </c>
      <c r="I56" s="454"/>
      <c r="J56" s="456">
        <v>5000</v>
      </c>
      <c r="K56" s="454"/>
      <c r="L56" s="456">
        <v>4000</v>
      </c>
      <c r="M56" s="454"/>
    </row>
    <row r="57" spans="2:13" ht="17.399999999999999" x14ac:dyDescent="0.3">
      <c r="B57" s="457" t="s">
        <v>459</v>
      </c>
      <c r="C57" s="454"/>
      <c r="D57" s="456">
        <v>5100</v>
      </c>
      <c r="E57" s="454"/>
      <c r="F57" s="456">
        <v>5100</v>
      </c>
      <c r="G57" s="454"/>
      <c r="H57" s="456">
        <v>5100</v>
      </c>
      <c r="I57" s="454"/>
      <c r="J57" s="456">
        <v>5100</v>
      </c>
      <c r="K57" s="454"/>
      <c r="L57" s="456">
        <v>4000</v>
      </c>
      <c r="M57" s="454"/>
    </row>
    <row r="58" spans="2:13" ht="17.399999999999999" x14ac:dyDescent="0.3">
      <c r="B58" s="457" t="s">
        <v>460</v>
      </c>
      <c r="C58" s="454"/>
      <c r="D58" s="456">
        <v>5000</v>
      </c>
      <c r="E58" s="454"/>
      <c r="F58" s="456">
        <v>5200</v>
      </c>
      <c r="G58" s="454"/>
      <c r="H58" s="456">
        <v>5200</v>
      </c>
      <c r="I58" s="454"/>
      <c r="J58" s="456">
        <v>5200</v>
      </c>
      <c r="K58" s="454"/>
      <c r="L58" s="456">
        <v>5100</v>
      </c>
      <c r="M58" s="454"/>
    </row>
    <row r="59" spans="2:13" ht="17.399999999999999" x14ac:dyDescent="0.3">
      <c r="B59" s="457" t="s">
        <v>462</v>
      </c>
      <c r="C59" s="454"/>
      <c r="D59" s="456">
        <v>4500</v>
      </c>
      <c r="E59" s="454"/>
      <c r="F59" s="456">
        <v>5300</v>
      </c>
      <c r="G59" s="454"/>
      <c r="H59" s="456">
        <v>5300</v>
      </c>
      <c r="I59" s="454"/>
      <c r="J59" s="456">
        <v>5300</v>
      </c>
      <c r="K59" s="454"/>
      <c r="L59" s="456">
        <v>4200</v>
      </c>
      <c r="M59" s="454"/>
    </row>
    <row r="60" spans="2:13" ht="17.399999999999999" x14ac:dyDescent="0.3">
      <c r="B60" s="457" t="s">
        <v>451</v>
      </c>
      <c r="C60" s="454"/>
      <c r="D60" s="456">
        <v>4200</v>
      </c>
      <c r="E60" s="454"/>
      <c r="F60" s="456">
        <v>5500</v>
      </c>
      <c r="G60" s="454"/>
      <c r="H60" s="456">
        <v>5500</v>
      </c>
      <c r="I60" s="454"/>
      <c r="J60" s="456">
        <v>5500</v>
      </c>
      <c r="K60" s="454"/>
      <c r="L60" s="456">
        <v>4500</v>
      </c>
      <c r="M60" s="454"/>
    </row>
    <row r="61" spans="2:13" ht="17.399999999999999" x14ac:dyDescent="0.3">
      <c r="B61" s="457" t="s">
        <v>453</v>
      </c>
      <c r="C61" s="454"/>
      <c r="D61" s="456">
        <v>4000</v>
      </c>
      <c r="E61" s="454"/>
      <c r="F61" s="456">
        <v>5700</v>
      </c>
      <c r="G61" s="454"/>
      <c r="H61" s="456">
        <v>5700</v>
      </c>
      <c r="I61" s="454"/>
      <c r="J61" s="456">
        <v>5700</v>
      </c>
      <c r="K61" s="454"/>
      <c r="L61" s="456">
        <v>6000</v>
      </c>
      <c r="M61" s="454"/>
    </row>
    <row r="62" spans="2:13" ht="17.399999999999999" x14ac:dyDescent="0.3">
      <c r="B62" s="457" t="s">
        <v>455</v>
      </c>
      <c r="C62" s="454"/>
      <c r="D62" s="456">
        <v>4000</v>
      </c>
      <c r="E62" s="454"/>
      <c r="F62" s="456">
        <v>5900</v>
      </c>
      <c r="G62" s="454"/>
      <c r="H62" s="456">
        <v>5900</v>
      </c>
      <c r="I62" s="454"/>
      <c r="J62" s="456">
        <v>5900</v>
      </c>
      <c r="K62" s="454"/>
      <c r="L62" s="456">
        <v>5000</v>
      </c>
      <c r="M62" s="454"/>
    </row>
    <row r="63" spans="2:13" ht="17.399999999999999" x14ac:dyDescent="0.3">
      <c r="B63" s="457" t="s">
        <v>457</v>
      </c>
      <c r="C63" s="454"/>
      <c r="D63" s="456">
        <v>3700</v>
      </c>
      <c r="E63" s="454"/>
      <c r="F63" s="456">
        <v>6000</v>
      </c>
      <c r="G63" s="454"/>
      <c r="H63" s="456">
        <v>6000</v>
      </c>
      <c r="I63" s="454"/>
      <c r="J63" s="456">
        <v>6000</v>
      </c>
      <c r="K63" s="454"/>
      <c r="L63" s="456">
        <v>5200</v>
      </c>
      <c r="M63" s="454"/>
    </row>
    <row r="64" spans="2:13" ht="17.399999999999999" x14ac:dyDescent="0.3">
      <c r="B64" s="457" t="s">
        <v>459</v>
      </c>
      <c r="C64" s="454"/>
      <c r="D64" s="456">
        <v>3330</v>
      </c>
      <c r="E64" s="454"/>
      <c r="F64" s="456">
        <v>6000</v>
      </c>
      <c r="G64" s="454"/>
      <c r="H64" s="456">
        <v>6000</v>
      </c>
      <c r="I64" s="454"/>
      <c r="J64" s="456">
        <v>6000</v>
      </c>
      <c r="K64" s="454"/>
      <c r="L64" s="456">
        <v>5300</v>
      </c>
      <c r="M64" s="454"/>
    </row>
    <row r="65" spans="2:13" ht="17.399999999999999" x14ac:dyDescent="0.3">
      <c r="B65" s="457" t="s">
        <v>460</v>
      </c>
      <c r="C65" s="454"/>
      <c r="D65" s="456">
        <v>3000</v>
      </c>
      <c r="E65" s="454"/>
      <c r="F65" s="456">
        <v>6600</v>
      </c>
      <c r="G65" s="454"/>
      <c r="H65" s="456">
        <v>6600</v>
      </c>
      <c r="I65" s="454"/>
      <c r="J65" s="456">
        <v>6600</v>
      </c>
      <c r="K65" s="454"/>
      <c r="L65" s="456">
        <v>5700</v>
      </c>
      <c r="M65" s="454"/>
    </row>
    <row r="66" spans="2:13" ht="17.399999999999999" x14ac:dyDescent="0.3">
      <c r="B66" s="457" t="s">
        <v>462</v>
      </c>
      <c r="C66" s="454"/>
      <c r="D66" s="456">
        <v>2800</v>
      </c>
      <c r="E66" s="454"/>
      <c r="F66" s="456">
        <v>7000</v>
      </c>
      <c r="G66" s="454"/>
      <c r="H66" s="456">
        <v>7000</v>
      </c>
      <c r="I66" s="454"/>
      <c r="J66" s="456">
        <v>7000</v>
      </c>
      <c r="K66" s="454"/>
      <c r="L66" s="456">
        <v>6000</v>
      </c>
      <c r="M66" s="454"/>
    </row>
    <row r="67" spans="2:13" ht="17.399999999999999" x14ac:dyDescent="0.3">
      <c r="B67" s="457" t="s">
        <v>451</v>
      </c>
      <c r="C67" s="454"/>
      <c r="D67" s="456">
        <v>2300</v>
      </c>
      <c r="E67" s="454"/>
      <c r="F67" s="456">
        <v>7200</v>
      </c>
      <c r="G67" s="454"/>
      <c r="H67" s="456">
        <v>7200</v>
      </c>
      <c r="I67" s="454"/>
      <c r="J67" s="456">
        <v>7200</v>
      </c>
      <c r="K67" s="454"/>
      <c r="L67" s="456">
        <v>6600</v>
      </c>
      <c r="M67" s="454"/>
    </row>
    <row r="68" spans="2:13" ht="17.399999999999999" x14ac:dyDescent="0.3">
      <c r="B68" s="457" t="s">
        <v>453</v>
      </c>
      <c r="C68" s="454"/>
      <c r="D68" s="456">
        <v>2200</v>
      </c>
      <c r="E68" s="454"/>
      <c r="F68" s="456">
        <v>7300</v>
      </c>
      <c r="G68" s="454"/>
      <c r="H68" s="456">
        <v>7300</v>
      </c>
      <c r="I68" s="454"/>
      <c r="J68" s="456">
        <v>7300</v>
      </c>
      <c r="K68" s="454"/>
      <c r="L68" s="456">
        <v>7000</v>
      </c>
      <c r="M68" s="454"/>
    </row>
    <row r="69" spans="2:13" ht="17.399999999999999" x14ac:dyDescent="0.3">
      <c r="B69" s="457" t="s">
        <v>455</v>
      </c>
      <c r="C69" s="454"/>
      <c r="D69" s="456">
        <v>2000</v>
      </c>
      <c r="E69" s="454"/>
      <c r="F69" s="456">
        <v>7400</v>
      </c>
      <c r="G69" s="454"/>
      <c r="H69" s="456">
        <v>7400</v>
      </c>
      <c r="I69" s="454"/>
      <c r="J69" s="456">
        <v>7400</v>
      </c>
      <c r="K69" s="454"/>
      <c r="L69" s="456">
        <v>7300</v>
      </c>
      <c r="M69" s="454"/>
    </row>
    <row r="70" spans="2:13" ht="17.399999999999999" x14ac:dyDescent="0.3">
      <c r="B70" s="457" t="s">
        <v>457</v>
      </c>
      <c r="C70" s="454"/>
      <c r="D70" s="456">
        <v>1500</v>
      </c>
      <c r="E70" s="454"/>
      <c r="F70" s="456">
        <v>7800</v>
      </c>
      <c r="G70" s="454"/>
      <c r="H70" s="456">
        <v>7800</v>
      </c>
      <c r="I70" s="454"/>
      <c r="J70" s="456">
        <v>7800</v>
      </c>
      <c r="K70" s="454"/>
      <c r="L70" s="456">
        <v>7400</v>
      </c>
      <c r="M70" s="454"/>
    </row>
    <row r="71" spans="2:13" ht="17.399999999999999" x14ac:dyDescent="0.3">
      <c r="B71" s="457" t="s">
        <v>459</v>
      </c>
      <c r="C71" s="454"/>
      <c r="D71" s="456">
        <v>1000</v>
      </c>
      <c r="E71" s="454"/>
      <c r="F71" s="456">
        <v>8000</v>
      </c>
      <c r="G71" s="454"/>
      <c r="H71" s="456">
        <v>8000</v>
      </c>
      <c r="I71" s="454"/>
      <c r="J71" s="456">
        <v>8000</v>
      </c>
      <c r="K71" s="454"/>
      <c r="L71" s="456">
        <v>7800</v>
      </c>
      <c r="M71" s="454"/>
    </row>
    <row r="72" spans="2:13" ht="17.399999999999999" x14ac:dyDescent="0.3">
      <c r="B72" s="457" t="s">
        <v>460</v>
      </c>
      <c r="C72" s="454"/>
      <c r="D72" s="456">
        <v>1000</v>
      </c>
      <c r="E72" s="454"/>
      <c r="F72" s="456">
        <v>8300</v>
      </c>
      <c r="G72" s="454"/>
      <c r="H72" s="456">
        <v>8300</v>
      </c>
      <c r="I72" s="454"/>
      <c r="J72" s="456">
        <v>8300</v>
      </c>
      <c r="K72" s="454"/>
      <c r="L72" s="456">
        <v>8000</v>
      </c>
      <c r="M72" s="454"/>
    </row>
    <row r="73" spans="2:13" ht="17.399999999999999" x14ac:dyDescent="0.3">
      <c r="B73" s="457" t="s">
        <v>462</v>
      </c>
      <c r="C73" s="454"/>
      <c r="D73" s="456">
        <v>1000</v>
      </c>
      <c r="E73" s="454"/>
      <c r="F73" s="456">
        <v>8800</v>
      </c>
      <c r="G73" s="454"/>
      <c r="H73" s="456">
        <v>8800</v>
      </c>
      <c r="I73" s="454"/>
      <c r="J73" s="456">
        <v>8800</v>
      </c>
      <c r="K73" s="454"/>
      <c r="L73" s="456">
        <v>8800</v>
      </c>
      <c r="M73" s="454"/>
    </row>
    <row r="74" spans="2:13" ht="17.399999999999999" x14ac:dyDescent="0.3">
      <c r="B74" s="457" t="s">
        <v>451</v>
      </c>
      <c r="C74" s="454"/>
      <c r="D74" s="456">
        <v>1000</v>
      </c>
      <c r="E74" s="454"/>
      <c r="F74" s="456">
        <v>8900</v>
      </c>
      <c r="G74" s="454"/>
      <c r="H74" s="456">
        <v>8900</v>
      </c>
      <c r="I74" s="454"/>
      <c r="J74" s="456">
        <v>8900</v>
      </c>
      <c r="K74" s="454"/>
      <c r="L74" s="456">
        <v>8900</v>
      </c>
      <c r="M74" s="454"/>
    </row>
  </sheetData>
  <conditionalFormatting sqref="A2:A36">
    <cfRule type="timePeriod" dxfId="8" priority="15" timePeriod="nextWeek">
      <formula>AND(ROUNDDOWN(A2,0)-TODAY()&gt;(7-WEEKDAY(TODAY())),ROUNDDOWN(A2,0)-TODAY()&lt;(15-WEEKDAY(TODAY())))</formula>
    </cfRule>
    <cfRule type="timePeriod" dxfId="7" priority="17" timePeriod="yesterday">
      <formula>FLOOR(A2,1)=TODAY()-1</formula>
    </cfRule>
  </conditionalFormatting>
  <conditionalFormatting sqref="B2:B36">
    <cfRule type="containsText" dxfId="6" priority="18" operator="containsText" text="ma">
      <formula>NOT(ISERROR(SEARCH("ma",B2)))</formula>
    </cfRule>
  </conditionalFormatting>
  <conditionalFormatting sqref="B40:B7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36">
    <cfRule type="containsText" dxfId="5" priority="19" operator="containsText" text="Pen">
      <formula>NOT(ISERROR(SEARCH("Pen",C2)))</formula>
    </cfRule>
  </conditionalFormatting>
  <conditionalFormatting sqref="D2:D36">
    <cfRule type="cellIs" dxfId="4" priority="21" operator="greaterThan">
      <formula>4000</formula>
    </cfRule>
  </conditionalFormatting>
  <conditionalFormatting sqref="D40:D7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36">
    <cfRule type="cellIs" dxfId="3" priority="20" operator="between">
      <formula>4000</formula>
      <formula>7000</formula>
    </cfRule>
  </conditionalFormatting>
  <conditionalFormatting sqref="F40:F74">
    <cfRule type="colorScale" priority="3">
      <colorScale>
        <cfvo type="min"/>
        <cfvo type="percentile" val="50"/>
        <cfvo type="max"/>
        <color rgb="FF7030A0"/>
        <color rgb="FFFFEB84"/>
        <color rgb="FF00B050"/>
      </colorScale>
    </cfRule>
    <cfRule type="colorScale" priority="4">
      <colorScale>
        <cfvo type="num" val="0"/>
        <cfvo type="percentile" val="50"/>
        <cfvo type="max"/>
        <color rgb="FF00B050"/>
        <color rgb="FFFFFF00"/>
        <color rgb="FF0070C0"/>
      </colorScale>
    </cfRule>
  </conditionalFormatting>
  <conditionalFormatting sqref="G2:G36">
    <cfRule type="top10" dxfId="2" priority="14" rank="10"/>
  </conditionalFormatting>
  <conditionalFormatting sqref="H40:H7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I2:I36">
    <cfRule type="aboveAverage" dxfId="1" priority="13"/>
  </conditionalFormatting>
  <conditionalFormatting sqref="J40:J74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K2:K36">
    <cfRule type="aboveAverage" dxfId="0" priority="12" aboveAverage="0"/>
  </conditionalFormatting>
  <conditionalFormatting sqref="M2:M36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{16AAE4A7-3295-498C-9D27-0E430618114E}</x14:id>
        </ext>
      </extLst>
    </cfRule>
  </conditionalFormatting>
  <conditionalFormatting sqref="O2:O3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{80DF8A68-B068-4EF5-825F-D1F924FB8F81}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AAE4A7-3295-498C-9D27-0E4306181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M2:M36</xm:sqref>
        </x14:conditionalFormatting>
        <x14:conditionalFormatting xmlns:xm="http://schemas.microsoft.com/office/excel/2006/main">
          <x14:cfRule type="dataBar" id="{80DF8A68-B068-4EF5-825F-D1F924FB8F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O2:O36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E27EC-A975-49DE-8B5D-3044EF766351}">
  <dimension ref="B2:C16"/>
  <sheetViews>
    <sheetView workbookViewId="0">
      <selection activeCell="F9" sqref="F9"/>
    </sheetView>
  </sheetViews>
  <sheetFormatPr defaultRowHeight="14.4" x14ac:dyDescent="0.3"/>
  <cols>
    <col min="2" max="2" width="37.109375" customWidth="1"/>
    <col min="3" max="3" width="11.33203125" bestFit="1" customWidth="1"/>
  </cols>
  <sheetData>
    <row r="2" spans="2:3" ht="18" x14ac:dyDescent="0.3">
      <c r="B2" s="622" t="s">
        <v>463</v>
      </c>
      <c r="C2" s="623"/>
    </row>
    <row r="3" spans="2:3" ht="18" x14ac:dyDescent="0.3">
      <c r="B3" s="472" t="s">
        <v>464</v>
      </c>
      <c r="C3" s="472" t="s">
        <v>465</v>
      </c>
    </row>
    <row r="4" spans="2:3" ht="17.399999999999999" x14ac:dyDescent="0.3">
      <c r="B4" s="473" t="s">
        <v>466</v>
      </c>
      <c r="C4" s="473">
        <v>6000</v>
      </c>
    </row>
    <row r="5" spans="2:3" ht="17.399999999999999" x14ac:dyDescent="0.3">
      <c r="B5" s="473" t="s">
        <v>467</v>
      </c>
      <c r="C5" s="473">
        <v>5000</v>
      </c>
    </row>
    <row r="6" spans="2:3" ht="17.399999999999999" x14ac:dyDescent="0.3">
      <c r="B6" s="473" t="s">
        <v>468</v>
      </c>
      <c r="C6" s="473">
        <v>300</v>
      </c>
    </row>
    <row r="7" spans="2:3" ht="17.399999999999999" x14ac:dyDescent="0.3">
      <c r="B7" s="473" t="s">
        <v>469</v>
      </c>
      <c r="C7" s="473">
        <v>2500</v>
      </c>
    </row>
    <row r="8" spans="2:3" ht="17.399999999999999" x14ac:dyDescent="0.3">
      <c r="B8" s="473" t="s">
        <v>470</v>
      </c>
      <c r="C8" s="473">
        <v>700</v>
      </c>
    </row>
    <row r="9" spans="2:3" ht="17.399999999999999" x14ac:dyDescent="0.3">
      <c r="B9" s="473" t="s">
        <v>471</v>
      </c>
      <c r="C9" s="473">
        <v>20000</v>
      </c>
    </row>
    <row r="10" spans="2:3" ht="17.399999999999999" x14ac:dyDescent="0.3">
      <c r="B10" s="473" t="s">
        <v>472</v>
      </c>
      <c r="C10" s="473">
        <v>4500</v>
      </c>
    </row>
    <row r="11" spans="2:3" ht="17.399999999999999" x14ac:dyDescent="0.3">
      <c r="B11" s="473" t="s">
        <v>473</v>
      </c>
      <c r="C11" s="473">
        <v>10000</v>
      </c>
    </row>
    <row r="12" spans="2:3" ht="17.399999999999999" x14ac:dyDescent="0.3">
      <c r="B12" s="473" t="s">
        <v>474</v>
      </c>
      <c r="C12" s="473">
        <v>1500</v>
      </c>
    </row>
    <row r="13" spans="2:3" ht="17.399999999999999" x14ac:dyDescent="0.3">
      <c r="B13" s="473" t="s">
        <v>475</v>
      </c>
      <c r="C13" s="473">
        <v>400</v>
      </c>
    </row>
    <row r="14" spans="2:3" ht="18" x14ac:dyDescent="0.3">
      <c r="B14" s="474" t="s">
        <v>356</v>
      </c>
      <c r="C14" s="474">
        <f>SUM(C4:C13)</f>
        <v>50900</v>
      </c>
    </row>
    <row r="15" spans="2:3" ht="15" x14ac:dyDescent="0.3">
      <c r="B15" s="475"/>
      <c r="C15" s="471"/>
    </row>
    <row r="16" spans="2:3" ht="16.8" x14ac:dyDescent="0.3">
      <c r="B16" s="476" t="s">
        <v>476</v>
      </c>
      <c r="C16" s="477">
        <v>65000</v>
      </c>
    </row>
  </sheetData>
  <scenarios current="0" show="0" sqref="C14">
    <scenario name="Lower_Prices" locked="1" count="10" user="HP" comment="Created by HP on 09-09-2026">
      <inputCells r="C4" val="6000"/>
      <inputCells r="C5" val="5000"/>
      <inputCells r="C6" val="300"/>
      <inputCells r="C7" val="2500"/>
      <inputCells r="C8" val="700"/>
      <inputCells r="C9" val="20000"/>
      <inputCells r="C10" val="4500"/>
      <inputCells r="C11" val="10000"/>
      <inputCells r="C12" val="1500"/>
      <inputCells r="C13" val="400"/>
    </scenario>
    <scenario name="Higher_Prices" locked="1" count="10" user="HP" comment="Created by HP on 09-09-2026">
      <inputCells r="C4" val="9000"/>
      <inputCells r="C5" val="6500"/>
      <inputCells r="C6" val="4000"/>
      <inputCells r="C7" val="2500"/>
      <inputCells r="C8" val="700"/>
      <inputCells r="C9" val="20000"/>
      <inputCells r="C10" val="4500"/>
      <inputCells r="C11" val="12000"/>
      <inputCells r="C12" val="2000"/>
      <inputCells r="C13" val="400"/>
    </scenario>
  </scenarios>
  <mergeCells count="1">
    <mergeCell ref="B2:C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4B23-9B84-4375-8336-7789FFC1D9E3}">
  <sheetPr>
    <outlinePr summaryBelow="0"/>
  </sheetPr>
  <dimension ref="B1:F20"/>
  <sheetViews>
    <sheetView showGridLines="0" workbookViewId="0">
      <selection activeCell="C24" sqref="C24"/>
    </sheetView>
  </sheetViews>
  <sheetFormatPr defaultRowHeight="14.4" outlineLevelRow="1" outlineLevelCol="1" x14ac:dyDescent="0.3"/>
  <cols>
    <col min="3" max="3" width="13.21875" bestFit="1" customWidth="1"/>
    <col min="4" max="6" width="13.109375" bestFit="1" customWidth="1" outlineLevel="1"/>
  </cols>
  <sheetData>
    <row r="1" spans="2:6" ht="15" thickBot="1" x14ac:dyDescent="0.35"/>
    <row r="2" spans="2:6" ht="15.6" x14ac:dyDescent="0.3">
      <c r="B2" s="485" t="s">
        <v>493</v>
      </c>
      <c r="C2" s="485"/>
      <c r="D2" s="490"/>
      <c r="E2" s="490"/>
      <c r="F2" s="490"/>
    </row>
    <row r="3" spans="2:6" ht="15.6" collapsed="1" x14ac:dyDescent="0.3">
      <c r="B3" s="484"/>
      <c r="C3" s="484"/>
      <c r="D3" s="491" t="s">
        <v>495</v>
      </c>
      <c r="E3" s="491" t="s">
        <v>490</v>
      </c>
      <c r="F3" s="491" t="s">
        <v>492</v>
      </c>
    </row>
    <row r="4" spans="2:6" ht="20.399999999999999" hidden="1" outlineLevel="1" x14ac:dyDescent="0.3">
      <c r="B4" s="487"/>
      <c r="C4" s="487"/>
      <c r="E4" s="493" t="s">
        <v>491</v>
      </c>
      <c r="F4" s="493" t="s">
        <v>491</v>
      </c>
    </row>
    <row r="5" spans="2:6" x14ac:dyDescent="0.3">
      <c r="B5" s="488" t="s">
        <v>494</v>
      </c>
      <c r="C5" s="488"/>
      <c r="D5" s="486"/>
      <c r="E5" s="486"/>
      <c r="F5" s="486"/>
    </row>
    <row r="6" spans="2:6" outlineLevel="1" x14ac:dyDescent="0.3">
      <c r="B6" s="487"/>
      <c r="C6" s="487" t="s">
        <v>466</v>
      </c>
      <c r="D6">
        <v>6000</v>
      </c>
      <c r="E6" s="492">
        <v>6000</v>
      </c>
      <c r="F6" s="492">
        <v>9000</v>
      </c>
    </row>
    <row r="7" spans="2:6" outlineLevel="1" x14ac:dyDescent="0.3">
      <c r="B7" s="487"/>
      <c r="C7" s="487" t="s">
        <v>500</v>
      </c>
      <c r="D7">
        <v>5000</v>
      </c>
      <c r="E7" s="492">
        <v>5000</v>
      </c>
      <c r="F7" s="492">
        <v>6500</v>
      </c>
    </row>
    <row r="8" spans="2:6" outlineLevel="1" x14ac:dyDescent="0.3">
      <c r="B8" s="487"/>
      <c r="C8" s="487" t="s">
        <v>468</v>
      </c>
      <c r="D8">
        <v>300</v>
      </c>
      <c r="E8" s="492">
        <v>300</v>
      </c>
      <c r="F8" s="492">
        <v>4000</v>
      </c>
    </row>
    <row r="9" spans="2:6" outlineLevel="1" x14ac:dyDescent="0.3">
      <c r="B9" s="487"/>
      <c r="C9" s="487" t="s">
        <v>483</v>
      </c>
      <c r="D9">
        <v>2500</v>
      </c>
      <c r="E9" s="492">
        <v>2500</v>
      </c>
      <c r="F9" s="492">
        <v>2500</v>
      </c>
    </row>
    <row r="10" spans="2:6" outlineLevel="1" x14ac:dyDescent="0.3">
      <c r="B10" s="487"/>
      <c r="C10" s="487" t="s">
        <v>484</v>
      </c>
      <c r="D10">
        <v>700</v>
      </c>
      <c r="E10" s="492">
        <v>700</v>
      </c>
      <c r="F10" s="492">
        <v>700</v>
      </c>
    </row>
    <row r="11" spans="2:6" outlineLevel="1" x14ac:dyDescent="0.3">
      <c r="B11" s="487"/>
      <c r="C11" s="487" t="s">
        <v>471</v>
      </c>
      <c r="D11">
        <v>20000</v>
      </c>
      <c r="E11" s="492">
        <v>20000</v>
      </c>
      <c r="F11" s="492">
        <v>20000</v>
      </c>
    </row>
    <row r="12" spans="2:6" outlineLevel="1" x14ac:dyDescent="0.3">
      <c r="B12" s="487"/>
      <c r="C12" s="487" t="s">
        <v>485</v>
      </c>
      <c r="D12">
        <v>4500</v>
      </c>
      <c r="E12" s="492">
        <v>4500</v>
      </c>
      <c r="F12" s="492">
        <v>4500</v>
      </c>
    </row>
    <row r="13" spans="2:6" outlineLevel="1" x14ac:dyDescent="0.3">
      <c r="B13" s="487"/>
      <c r="C13" s="487" t="s">
        <v>486</v>
      </c>
      <c r="D13">
        <v>10000</v>
      </c>
      <c r="E13" s="492">
        <v>10000</v>
      </c>
      <c r="F13" s="492">
        <v>12000</v>
      </c>
    </row>
    <row r="14" spans="2:6" outlineLevel="1" x14ac:dyDescent="0.3">
      <c r="B14" s="487"/>
      <c r="C14" s="487" t="s">
        <v>487</v>
      </c>
      <c r="D14">
        <v>1500</v>
      </c>
      <c r="E14" s="492">
        <v>1500</v>
      </c>
      <c r="F14" s="492">
        <v>2000</v>
      </c>
    </row>
    <row r="15" spans="2:6" outlineLevel="1" x14ac:dyDescent="0.3">
      <c r="B15" s="487"/>
      <c r="C15" s="487" t="s">
        <v>488</v>
      </c>
      <c r="D15">
        <v>400</v>
      </c>
      <c r="E15" s="492">
        <v>400</v>
      </c>
      <c r="F15" s="492">
        <v>400</v>
      </c>
    </row>
    <row r="16" spans="2:6" x14ac:dyDescent="0.3">
      <c r="B16" s="488" t="s">
        <v>496</v>
      </c>
      <c r="C16" s="488"/>
      <c r="D16" s="486"/>
      <c r="E16" s="486"/>
      <c r="F16" s="486"/>
    </row>
    <row r="17" spans="2:6" ht="15" outlineLevel="1" thickBot="1" x14ac:dyDescent="0.35">
      <c r="B17" s="489"/>
      <c r="C17" s="489" t="s">
        <v>489</v>
      </c>
      <c r="D17" s="470">
        <v>50900</v>
      </c>
      <c r="E17" s="470">
        <v>50900</v>
      </c>
      <c r="F17" s="470">
        <v>61600</v>
      </c>
    </row>
    <row r="18" spans="2:6" x14ac:dyDescent="0.3">
      <c r="B18" t="s">
        <v>497</v>
      </c>
    </row>
    <row r="19" spans="2:6" x14ac:dyDescent="0.3">
      <c r="B19" t="s">
        <v>498</v>
      </c>
    </row>
    <row r="20" spans="2:6" x14ac:dyDescent="0.3">
      <c r="B20" t="s">
        <v>499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A535-0463-4C84-876B-F5A837C543B4}">
  <dimension ref="B2:C16"/>
  <sheetViews>
    <sheetView workbookViewId="0">
      <selection activeCell="C14" sqref="C14"/>
    </sheetView>
  </sheetViews>
  <sheetFormatPr defaultRowHeight="14.4" x14ac:dyDescent="0.3"/>
  <cols>
    <col min="2" max="2" width="30.33203125" bestFit="1" customWidth="1"/>
    <col min="3" max="3" width="13.6640625" customWidth="1"/>
  </cols>
  <sheetData>
    <row r="2" spans="2:3" ht="18" x14ac:dyDescent="0.3">
      <c r="B2" s="622" t="s">
        <v>463</v>
      </c>
      <c r="C2" s="623"/>
    </row>
    <row r="3" spans="2:3" ht="18" x14ac:dyDescent="0.3">
      <c r="B3" s="472" t="s">
        <v>464</v>
      </c>
      <c r="C3" s="472" t="s">
        <v>465</v>
      </c>
    </row>
    <row r="4" spans="2:3" ht="17.399999999999999" x14ac:dyDescent="0.3">
      <c r="B4" s="473" t="s">
        <v>466</v>
      </c>
      <c r="C4" s="473">
        <v>10500</v>
      </c>
    </row>
    <row r="5" spans="2:3" ht="17.399999999999999" x14ac:dyDescent="0.3">
      <c r="B5" s="473" t="s">
        <v>467</v>
      </c>
      <c r="C5" s="473">
        <v>6000</v>
      </c>
    </row>
    <row r="6" spans="2:3" ht="17.399999999999999" x14ac:dyDescent="0.3">
      <c r="B6" s="473" t="s">
        <v>468</v>
      </c>
      <c r="C6" s="473">
        <v>3000</v>
      </c>
    </row>
    <row r="7" spans="2:3" ht="17.399999999999999" x14ac:dyDescent="0.3">
      <c r="B7" s="473" t="s">
        <v>469</v>
      </c>
      <c r="C7" s="473">
        <v>2500</v>
      </c>
    </row>
    <row r="8" spans="2:3" ht="17.399999999999999" x14ac:dyDescent="0.3">
      <c r="B8" s="473" t="s">
        <v>470</v>
      </c>
      <c r="C8" s="473">
        <v>700</v>
      </c>
    </row>
    <row r="9" spans="2:3" ht="18" x14ac:dyDescent="0.3">
      <c r="B9" s="473" t="s">
        <v>471</v>
      </c>
      <c r="C9" s="494">
        <v>16400.000000000007</v>
      </c>
    </row>
    <row r="10" spans="2:3" ht="17.399999999999999" x14ac:dyDescent="0.3">
      <c r="B10" s="473" t="s">
        <v>472</v>
      </c>
      <c r="C10" s="473">
        <v>4500</v>
      </c>
    </row>
    <row r="11" spans="2:3" ht="17.399999999999999" x14ac:dyDescent="0.3">
      <c r="B11" s="473" t="s">
        <v>473</v>
      </c>
      <c r="C11" s="473">
        <v>10000</v>
      </c>
    </row>
    <row r="12" spans="2:3" ht="17.399999999999999" x14ac:dyDescent="0.3">
      <c r="B12" s="473" t="s">
        <v>474</v>
      </c>
      <c r="C12" s="473">
        <v>2000</v>
      </c>
    </row>
    <row r="13" spans="2:3" ht="17.399999999999999" x14ac:dyDescent="0.3">
      <c r="B13" s="473" t="s">
        <v>475</v>
      </c>
      <c r="C13" s="473">
        <v>400</v>
      </c>
    </row>
    <row r="14" spans="2:3" ht="18" x14ac:dyDescent="0.3">
      <c r="B14" s="474" t="s">
        <v>356</v>
      </c>
      <c r="C14" s="474" t="s">
        <v>506</v>
      </c>
    </row>
    <row r="15" spans="2:3" ht="15" x14ac:dyDescent="0.3">
      <c r="B15" s="475"/>
      <c r="C15" s="471"/>
    </row>
    <row r="16" spans="2:3" ht="16.8" x14ac:dyDescent="0.3">
      <c r="B16" s="476" t="s">
        <v>476</v>
      </c>
      <c r="C16" s="477"/>
    </row>
  </sheetData>
  <mergeCells count="1">
    <mergeCell ref="B2:C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4137-86E8-456B-AB56-D0A4EBA89623}">
  <dimension ref="C2:I16"/>
  <sheetViews>
    <sheetView workbookViewId="0">
      <selection activeCell="D22" sqref="D22"/>
    </sheetView>
  </sheetViews>
  <sheetFormatPr defaultRowHeight="14.4" x14ac:dyDescent="0.3"/>
  <cols>
    <col min="3" max="3" width="32.88671875" customWidth="1"/>
    <col min="4" max="4" width="35.44140625" bestFit="1" customWidth="1"/>
    <col min="7" max="7" width="21.5546875" bestFit="1" customWidth="1"/>
    <col min="8" max="8" width="35.44140625" bestFit="1" customWidth="1"/>
  </cols>
  <sheetData>
    <row r="2" spans="3:9" ht="18" x14ac:dyDescent="0.3">
      <c r="C2" s="472" t="s">
        <v>477</v>
      </c>
      <c r="D2" s="479" t="s">
        <v>478</v>
      </c>
      <c r="E2" s="478"/>
      <c r="G2" s="472" t="s">
        <v>477</v>
      </c>
      <c r="H2" s="479" t="s">
        <v>478</v>
      </c>
      <c r="I2" s="478"/>
    </row>
    <row r="3" spans="3:9" ht="18" x14ac:dyDescent="0.3">
      <c r="C3" s="472" t="s">
        <v>403</v>
      </c>
      <c r="D3" s="480">
        <v>150000</v>
      </c>
      <c r="E3" s="478"/>
      <c r="G3" s="472" t="s">
        <v>403</v>
      </c>
      <c r="H3" s="480">
        <v>150000</v>
      </c>
      <c r="I3" s="478"/>
    </row>
    <row r="4" spans="3:9" ht="18" x14ac:dyDescent="0.3">
      <c r="C4" s="472" t="s">
        <v>479</v>
      </c>
      <c r="D4" s="480">
        <v>50000</v>
      </c>
      <c r="E4" s="478"/>
      <c r="G4" s="472" t="s">
        <v>479</v>
      </c>
      <c r="H4" s="480">
        <v>50000</v>
      </c>
      <c r="I4" s="478"/>
    </row>
    <row r="5" spans="3:9" ht="18" x14ac:dyDescent="0.3">
      <c r="C5" s="472" t="s">
        <v>480</v>
      </c>
      <c r="D5" s="495">
        <v>24.999999480308954</v>
      </c>
      <c r="E5" s="478"/>
      <c r="G5" s="472" t="s">
        <v>480</v>
      </c>
      <c r="H5" s="480">
        <v>36</v>
      </c>
      <c r="I5" s="478"/>
    </row>
    <row r="6" spans="3:9" ht="18" x14ac:dyDescent="0.3">
      <c r="C6" s="496" t="s">
        <v>501</v>
      </c>
      <c r="D6" s="481">
        <v>100000</v>
      </c>
      <c r="E6" s="478"/>
      <c r="H6" s="481">
        <v>100000</v>
      </c>
      <c r="I6" s="478"/>
    </row>
    <row r="7" spans="3:9" ht="22.8" x14ac:dyDescent="0.3">
      <c r="C7" s="469" t="s">
        <v>481</v>
      </c>
      <c r="D7" s="482">
        <f>D6/D5</f>
        <v>4000.000083150569</v>
      </c>
      <c r="E7" s="483" t="s">
        <v>482</v>
      </c>
      <c r="G7" s="469" t="s">
        <v>481</v>
      </c>
      <c r="H7" s="482"/>
      <c r="I7" s="483" t="s">
        <v>482</v>
      </c>
    </row>
    <row r="11" spans="3:9" ht="18" x14ac:dyDescent="0.3">
      <c r="C11" s="472" t="s">
        <v>477</v>
      </c>
      <c r="D11" s="479" t="s">
        <v>478</v>
      </c>
      <c r="E11" s="478"/>
    </row>
    <row r="12" spans="3:9" ht="18" x14ac:dyDescent="0.3">
      <c r="C12" s="472" t="s">
        <v>403</v>
      </c>
      <c r="D12" s="480">
        <v>150000</v>
      </c>
      <c r="E12" s="478"/>
    </row>
    <row r="13" spans="3:9" ht="18" x14ac:dyDescent="0.3">
      <c r="C13" s="472" t="s">
        <v>479</v>
      </c>
      <c r="D13" s="480">
        <v>50000</v>
      </c>
      <c r="E13" s="478"/>
    </row>
    <row r="14" spans="3:9" ht="18" x14ac:dyDescent="0.3">
      <c r="C14" s="472" t="s">
        <v>480</v>
      </c>
      <c r="D14" s="480">
        <f>D15/D16</f>
        <v>31.000004361916073</v>
      </c>
      <c r="E14" s="478"/>
    </row>
    <row r="15" spans="3:9" ht="18" x14ac:dyDescent="0.3">
      <c r="C15" s="496" t="s">
        <v>501</v>
      </c>
      <c r="D15" s="481">
        <v>100000</v>
      </c>
      <c r="E15" s="478"/>
    </row>
    <row r="16" spans="3:9" ht="22.8" x14ac:dyDescent="0.3">
      <c r="C16" s="469" t="s">
        <v>481</v>
      </c>
      <c r="D16" s="482">
        <v>3225.8059977195153</v>
      </c>
      <c r="E16" s="483" t="s">
        <v>482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E2DD-AD85-4170-B39C-1979BA1B640F}">
  <dimension ref="B2:L48"/>
  <sheetViews>
    <sheetView tabSelected="1" topLeftCell="A36" workbookViewId="0">
      <selection activeCell="D39" sqref="D39:I48"/>
    </sheetView>
  </sheetViews>
  <sheetFormatPr defaultRowHeight="14.4" x14ac:dyDescent="0.3"/>
  <cols>
    <col min="2" max="2" width="39.6640625" customWidth="1"/>
    <col min="3" max="3" width="15.5546875" customWidth="1"/>
    <col min="4" max="4" width="16.77734375" customWidth="1"/>
    <col min="6" max="6" width="16.6640625" customWidth="1"/>
    <col min="7" max="7" width="19.21875" customWidth="1"/>
    <col min="11" max="11" width="22.109375" customWidth="1"/>
    <col min="12" max="12" width="12.44140625" customWidth="1"/>
  </cols>
  <sheetData>
    <row r="2" spans="2:7" ht="21" x14ac:dyDescent="0.3">
      <c r="B2" s="515" t="s">
        <v>463</v>
      </c>
      <c r="C2" s="516"/>
      <c r="F2" s="501" t="s">
        <v>468</v>
      </c>
      <c r="G2" s="501" t="s">
        <v>502</v>
      </c>
    </row>
    <row r="3" spans="2:7" ht="20.399999999999999" x14ac:dyDescent="0.3">
      <c r="B3" s="497" t="s">
        <v>464</v>
      </c>
      <c r="C3" s="497" t="s">
        <v>465</v>
      </c>
      <c r="F3" s="502"/>
      <c r="G3" s="503">
        <f>C14</f>
        <v>57100</v>
      </c>
    </row>
    <row r="4" spans="2:7" ht="20.399999999999999" x14ac:dyDescent="0.3">
      <c r="B4" s="498" t="s">
        <v>466</v>
      </c>
      <c r="C4" s="498">
        <v>8000</v>
      </c>
      <c r="F4" s="504">
        <v>2000</v>
      </c>
      <c r="G4" s="504">
        <f t="dataTable" ref="G4:G8" dt2D="0" dtr="0" r1="C6"/>
        <v>56100</v>
      </c>
    </row>
    <row r="5" spans="2:7" ht="20.399999999999999" x14ac:dyDescent="0.3">
      <c r="B5" s="498" t="s">
        <v>467</v>
      </c>
      <c r="C5" s="498">
        <v>6000</v>
      </c>
      <c r="F5" s="504">
        <v>3500</v>
      </c>
      <c r="G5" s="504">
        <v>57600</v>
      </c>
    </row>
    <row r="6" spans="2:7" ht="20.399999999999999" x14ac:dyDescent="0.3">
      <c r="B6" s="499" t="s">
        <v>468</v>
      </c>
      <c r="C6" s="499">
        <v>3000</v>
      </c>
      <c r="F6" s="504">
        <v>4000</v>
      </c>
      <c r="G6" s="504">
        <v>58100</v>
      </c>
    </row>
    <row r="7" spans="2:7" ht="20.399999999999999" x14ac:dyDescent="0.3">
      <c r="B7" s="498" t="s">
        <v>469</v>
      </c>
      <c r="C7" s="498">
        <v>2500</v>
      </c>
      <c r="F7" s="504">
        <v>5000</v>
      </c>
      <c r="G7" s="504">
        <v>59100</v>
      </c>
    </row>
    <row r="8" spans="2:7" ht="20.399999999999999" x14ac:dyDescent="0.3">
      <c r="B8" s="498" t="s">
        <v>470</v>
      </c>
      <c r="C8" s="498">
        <v>700</v>
      </c>
      <c r="F8" s="504">
        <v>6000</v>
      </c>
      <c r="G8" s="504">
        <v>60100</v>
      </c>
    </row>
    <row r="9" spans="2:7" ht="20.399999999999999" x14ac:dyDescent="0.3">
      <c r="B9" s="498" t="s">
        <v>471</v>
      </c>
      <c r="C9" s="498">
        <v>20000</v>
      </c>
      <c r="F9" s="504"/>
      <c r="G9" s="504"/>
    </row>
    <row r="10" spans="2:7" ht="20.399999999999999" x14ac:dyDescent="0.3">
      <c r="B10" s="498" t="s">
        <v>472</v>
      </c>
      <c r="C10" s="498">
        <v>4500</v>
      </c>
      <c r="F10" s="504"/>
      <c r="G10" s="504"/>
    </row>
    <row r="11" spans="2:7" ht="20.399999999999999" x14ac:dyDescent="0.3">
      <c r="B11" s="498" t="s">
        <v>473</v>
      </c>
      <c r="C11" s="498">
        <v>10000</v>
      </c>
      <c r="F11" s="504"/>
      <c r="G11" s="504"/>
    </row>
    <row r="12" spans="2:7" ht="20.399999999999999" x14ac:dyDescent="0.3">
      <c r="B12" s="498" t="s">
        <v>474</v>
      </c>
      <c r="C12" s="498">
        <v>2000</v>
      </c>
      <c r="F12" s="504"/>
      <c r="G12" s="504"/>
    </row>
    <row r="13" spans="2:7" ht="20.399999999999999" x14ac:dyDescent="0.3">
      <c r="B13" s="498" t="s">
        <v>475</v>
      </c>
      <c r="C13" s="498">
        <v>400</v>
      </c>
      <c r="F13" s="504"/>
      <c r="G13" s="504"/>
    </row>
    <row r="14" spans="2:7" ht="20.399999999999999" x14ac:dyDescent="0.3">
      <c r="B14" s="500" t="s">
        <v>356</v>
      </c>
      <c r="C14" s="500">
        <f>SUM(C4:C13)</f>
        <v>57100</v>
      </c>
      <c r="F14" s="504"/>
      <c r="G14" s="504"/>
    </row>
    <row r="22" spans="2:12" ht="21" x14ac:dyDescent="0.3">
      <c r="B22" s="506" t="s">
        <v>503</v>
      </c>
      <c r="C22" s="506">
        <v>1000</v>
      </c>
      <c r="D22" s="505"/>
      <c r="E22" s="505"/>
      <c r="F22" s="507" t="s">
        <v>504</v>
      </c>
      <c r="G22" s="507" t="s">
        <v>505</v>
      </c>
      <c r="H22" s="505"/>
      <c r="I22" s="505"/>
      <c r="J22" s="505"/>
      <c r="K22" s="505"/>
      <c r="L22" s="505"/>
    </row>
    <row r="23" spans="2:12" ht="21" x14ac:dyDescent="0.3">
      <c r="B23" s="506" t="s">
        <v>504</v>
      </c>
      <c r="C23" s="506">
        <v>20</v>
      </c>
      <c r="D23" s="505"/>
      <c r="E23" s="505"/>
      <c r="F23" s="508"/>
      <c r="G23" s="508">
        <f>C26</f>
        <v>20000</v>
      </c>
      <c r="H23" s="505"/>
      <c r="I23" s="505"/>
      <c r="J23" s="505"/>
      <c r="K23" s="505"/>
      <c r="L23" s="505"/>
    </row>
    <row r="24" spans="2:12" ht="21" x14ac:dyDescent="0.3">
      <c r="B24" s="506" t="s">
        <v>277</v>
      </c>
      <c r="C24" s="506">
        <v>2</v>
      </c>
      <c r="D24" s="505"/>
      <c r="E24" s="505"/>
      <c r="F24" s="509">
        <v>10</v>
      </c>
      <c r="G24" s="509">
        <f t="dataTable" ref="G24:G30" dt2D="0" dtr="0" r1="C23"/>
        <v>10000</v>
      </c>
      <c r="H24" s="505"/>
      <c r="I24" s="505"/>
      <c r="J24" s="505"/>
      <c r="K24" s="505"/>
      <c r="L24" s="505"/>
    </row>
    <row r="25" spans="2:12" ht="19.8" x14ac:dyDescent="0.3">
      <c r="B25" s="510"/>
      <c r="C25" s="510"/>
      <c r="D25" s="505"/>
      <c r="E25" s="505"/>
      <c r="F25" s="509">
        <v>10</v>
      </c>
      <c r="G25" s="509">
        <v>10000</v>
      </c>
      <c r="H25" s="505"/>
      <c r="I25" s="505"/>
      <c r="J25" s="505"/>
      <c r="K25" s="505"/>
      <c r="L25" s="505"/>
    </row>
    <row r="26" spans="2:12" ht="21" x14ac:dyDescent="0.3">
      <c r="B26" s="506" t="s">
        <v>505</v>
      </c>
      <c r="C26" s="506">
        <f>C22*C23</f>
        <v>20000</v>
      </c>
      <c r="D26" s="505"/>
      <c r="E26" s="505"/>
      <c r="F26" s="509">
        <v>25</v>
      </c>
      <c r="G26" s="509">
        <v>25000</v>
      </c>
      <c r="H26" s="505"/>
      <c r="I26" s="505"/>
      <c r="J26" s="505"/>
      <c r="K26" s="505"/>
      <c r="L26" s="505"/>
    </row>
    <row r="27" spans="2:12" ht="19.8" x14ac:dyDescent="0.3">
      <c r="B27" s="505"/>
      <c r="C27" s="505"/>
      <c r="D27" s="505"/>
      <c r="E27" s="505"/>
      <c r="F27" s="509">
        <v>35</v>
      </c>
      <c r="G27" s="509">
        <v>35000</v>
      </c>
      <c r="H27" s="505"/>
      <c r="I27" s="505"/>
      <c r="J27" s="505"/>
      <c r="K27" s="505"/>
      <c r="L27" s="505"/>
    </row>
    <row r="28" spans="2:12" ht="19.8" x14ac:dyDescent="0.3">
      <c r="B28" s="505"/>
      <c r="C28" s="505"/>
      <c r="D28" s="505"/>
      <c r="E28" s="505"/>
      <c r="F28" s="509">
        <v>40</v>
      </c>
      <c r="G28" s="509">
        <v>40000</v>
      </c>
      <c r="H28" s="505"/>
      <c r="I28" s="505"/>
      <c r="J28" s="505"/>
      <c r="K28" s="505"/>
      <c r="L28" s="505"/>
    </row>
    <row r="29" spans="2:12" ht="19.8" x14ac:dyDescent="0.3">
      <c r="B29" s="505"/>
      <c r="C29" s="505"/>
      <c r="D29" s="505"/>
      <c r="E29" s="505"/>
      <c r="F29" s="509">
        <v>45</v>
      </c>
      <c r="G29" s="509">
        <v>45000</v>
      </c>
      <c r="H29" s="505"/>
      <c r="I29" s="505"/>
      <c r="J29" s="505"/>
      <c r="K29" s="505"/>
      <c r="L29" s="505"/>
    </row>
    <row r="30" spans="2:12" ht="19.8" x14ac:dyDescent="0.3">
      <c r="B30" s="505"/>
      <c r="C30" s="505"/>
      <c r="D30" s="505"/>
      <c r="E30" s="505"/>
      <c r="F30" s="509">
        <v>50</v>
      </c>
      <c r="G30" s="509">
        <v>50000</v>
      </c>
      <c r="H30" s="505"/>
      <c r="I30" s="505"/>
      <c r="J30" s="505"/>
      <c r="K30" s="505"/>
      <c r="L30" s="505"/>
    </row>
    <row r="31" spans="2:12" ht="19.8" x14ac:dyDescent="0.3">
      <c r="B31" s="505"/>
      <c r="C31" s="505"/>
      <c r="D31" s="505"/>
      <c r="E31" s="505"/>
      <c r="F31" s="509"/>
      <c r="G31" s="509"/>
      <c r="H31" s="505"/>
      <c r="I31" s="505"/>
      <c r="J31" s="505"/>
      <c r="K31" s="505"/>
      <c r="L31" s="505"/>
    </row>
    <row r="32" spans="2:12" ht="19.8" x14ac:dyDescent="0.3">
      <c r="B32" s="505"/>
      <c r="C32" s="505"/>
      <c r="D32" s="505"/>
      <c r="E32" s="505"/>
      <c r="F32" s="509"/>
      <c r="G32" s="509"/>
      <c r="H32" s="505"/>
      <c r="I32" s="505"/>
      <c r="J32" s="505"/>
      <c r="K32" s="505"/>
      <c r="L32" s="505"/>
    </row>
    <row r="33" spans="2:12" ht="19.8" x14ac:dyDescent="0.3">
      <c r="B33" s="505"/>
      <c r="C33" s="505"/>
      <c r="D33" s="505"/>
      <c r="E33" s="505"/>
      <c r="F33" s="509"/>
      <c r="G33" s="509"/>
      <c r="H33" s="505"/>
      <c r="I33" s="505"/>
      <c r="J33" s="505"/>
      <c r="K33" s="505"/>
      <c r="L33" s="505"/>
    </row>
    <row r="34" spans="2:12" ht="19.8" x14ac:dyDescent="0.3">
      <c r="B34" s="505"/>
      <c r="C34" s="505"/>
      <c r="D34" s="505"/>
      <c r="E34" s="505"/>
      <c r="F34" s="509"/>
      <c r="G34" s="509"/>
      <c r="H34" s="505"/>
      <c r="I34" s="505"/>
      <c r="J34" s="505"/>
      <c r="K34" s="505"/>
      <c r="L34" s="505"/>
    </row>
    <row r="35" spans="2:12" ht="19.8" x14ac:dyDescent="0.3">
      <c r="B35" s="505"/>
      <c r="C35" s="505"/>
      <c r="D35" s="505"/>
      <c r="E35" s="505"/>
      <c r="F35" s="509"/>
      <c r="G35" s="509"/>
      <c r="H35" s="505"/>
      <c r="I35" s="505"/>
      <c r="J35" s="505"/>
      <c r="K35" s="505"/>
      <c r="L35" s="505"/>
    </row>
    <row r="36" spans="2:12" ht="18.600000000000001" x14ac:dyDescent="0.3">
      <c r="B36" s="505"/>
      <c r="J36" s="505"/>
      <c r="K36" s="505"/>
      <c r="L36" s="505"/>
    </row>
    <row r="37" spans="2:12" ht="18.600000000000001" x14ac:dyDescent="0.3">
      <c r="B37" s="505"/>
      <c r="J37" s="505"/>
      <c r="K37" s="505"/>
      <c r="L37" s="505"/>
    </row>
    <row r="38" spans="2:12" ht="19.8" x14ac:dyDescent="0.3">
      <c r="B38" s="505"/>
      <c r="C38" s="505"/>
      <c r="D38" s="511" t="s">
        <v>505</v>
      </c>
      <c r="E38" s="517" t="s">
        <v>277</v>
      </c>
      <c r="F38" s="518"/>
      <c r="G38" s="518"/>
      <c r="H38" s="518"/>
      <c r="I38" s="519"/>
      <c r="J38" s="505"/>
      <c r="K38" s="505"/>
      <c r="L38" s="505"/>
    </row>
    <row r="39" spans="2:12" ht="21" x14ac:dyDescent="0.3">
      <c r="B39" s="505"/>
      <c r="C39" s="505"/>
      <c r="D39" s="512">
        <f>L43</f>
        <v>20000</v>
      </c>
      <c r="E39" s="512">
        <v>2</v>
      </c>
      <c r="F39" s="512">
        <v>3</v>
      </c>
      <c r="G39" s="512">
        <v>4</v>
      </c>
      <c r="H39" s="512">
        <v>5</v>
      </c>
      <c r="I39" s="512">
        <v>6</v>
      </c>
      <c r="J39" s="505"/>
      <c r="K39" s="506" t="s">
        <v>503</v>
      </c>
      <c r="L39" s="506">
        <v>1000</v>
      </c>
    </row>
    <row r="40" spans="2:12" ht="21" x14ac:dyDescent="0.3">
      <c r="B40" s="505"/>
      <c r="C40" s="520" t="s">
        <v>504</v>
      </c>
      <c r="D40" s="513">
        <v>10</v>
      </c>
      <c r="E40" s="514">
        <f t="dataTable" ref="E40:I48" dt2D="1" dtr="1" r1="L41" r2="L40"/>
        <v>10000</v>
      </c>
      <c r="F40" s="514">
        <v>10000</v>
      </c>
      <c r="G40" s="514">
        <v>10000</v>
      </c>
      <c r="H40" s="514">
        <v>10000</v>
      </c>
      <c r="I40" s="514">
        <v>10000</v>
      </c>
      <c r="J40" s="505"/>
      <c r="K40" s="506" t="s">
        <v>504</v>
      </c>
      <c r="L40" s="506">
        <v>20</v>
      </c>
    </row>
    <row r="41" spans="2:12" ht="21" x14ac:dyDescent="0.3">
      <c r="B41" s="505"/>
      <c r="C41" s="521"/>
      <c r="D41" s="513">
        <v>30</v>
      </c>
      <c r="E41" s="514">
        <v>30000</v>
      </c>
      <c r="F41" s="514">
        <v>30000</v>
      </c>
      <c r="G41" s="514">
        <v>30000</v>
      </c>
      <c r="H41" s="514">
        <v>30000</v>
      </c>
      <c r="I41" s="514">
        <v>30000</v>
      </c>
      <c r="J41" s="505"/>
      <c r="K41" s="506" t="s">
        <v>277</v>
      </c>
      <c r="L41" s="506">
        <v>1</v>
      </c>
    </row>
    <row r="42" spans="2:12" ht="19.8" x14ac:dyDescent="0.3">
      <c r="B42" s="505"/>
      <c r="C42" s="521"/>
      <c r="D42" s="513">
        <v>40</v>
      </c>
      <c r="E42" s="514">
        <v>40000</v>
      </c>
      <c r="F42" s="514">
        <v>40000</v>
      </c>
      <c r="G42" s="514">
        <v>40000</v>
      </c>
      <c r="H42" s="514">
        <v>40000</v>
      </c>
      <c r="I42" s="514">
        <v>40000</v>
      </c>
      <c r="J42" s="505"/>
      <c r="K42" s="510"/>
      <c r="L42" s="510"/>
    </row>
    <row r="43" spans="2:12" ht="21" x14ac:dyDescent="0.3">
      <c r="B43" s="505"/>
      <c r="C43" s="521"/>
      <c r="D43" s="513">
        <v>50</v>
      </c>
      <c r="E43" s="514">
        <v>50000</v>
      </c>
      <c r="F43" s="514">
        <v>50000</v>
      </c>
      <c r="G43" s="514">
        <v>50000</v>
      </c>
      <c r="H43" s="514">
        <v>50000</v>
      </c>
      <c r="I43" s="514">
        <v>50000</v>
      </c>
      <c r="J43" s="505"/>
      <c r="K43" s="506" t="s">
        <v>505</v>
      </c>
      <c r="L43" s="506">
        <f>L39*L40</f>
        <v>20000</v>
      </c>
    </row>
    <row r="44" spans="2:12" ht="19.8" x14ac:dyDescent="0.3">
      <c r="B44" s="505"/>
      <c r="C44" s="521"/>
      <c r="D44" s="513">
        <v>60</v>
      </c>
      <c r="E44" s="514">
        <v>60000</v>
      </c>
      <c r="F44" s="514">
        <v>60000</v>
      </c>
      <c r="G44" s="514">
        <v>60000</v>
      </c>
      <c r="H44" s="514">
        <v>60000</v>
      </c>
      <c r="I44" s="514">
        <v>60000</v>
      </c>
      <c r="J44" s="505"/>
      <c r="K44" s="505"/>
      <c r="L44" s="505"/>
    </row>
    <row r="45" spans="2:12" ht="19.8" x14ac:dyDescent="0.3">
      <c r="B45" s="505"/>
      <c r="C45" s="521"/>
      <c r="D45" s="513">
        <v>70</v>
      </c>
      <c r="E45" s="514">
        <v>70000</v>
      </c>
      <c r="F45" s="514">
        <v>70000</v>
      </c>
      <c r="G45" s="514">
        <v>70000</v>
      </c>
      <c r="H45" s="514">
        <v>70000</v>
      </c>
      <c r="I45" s="514">
        <v>70000</v>
      </c>
      <c r="J45" s="505"/>
      <c r="K45" s="505"/>
      <c r="L45" s="505"/>
    </row>
    <row r="46" spans="2:12" ht="19.8" x14ac:dyDescent="0.3">
      <c r="B46" s="505"/>
      <c r="C46" s="521"/>
      <c r="D46" s="513">
        <v>80</v>
      </c>
      <c r="E46" s="514">
        <v>80000</v>
      </c>
      <c r="F46" s="514">
        <v>80000</v>
      </c>
      <c r="G46" s="514">
        <v>80000</v>
      </c>
      <c r="H46" s="514">
        <v>80000</v>
      </c>
      <c r="I46" s="514">
        <v>80000</v>
      </c>
      <c r="J46" s="505"/>
      <c r="K46" s="505"/>
      <c r="L46" s="505"/>
    </row>
    <row r="47" spans="2:12" ht="19.8" x14ac:dyDescent="0.3">
      <c r="B47" s="505"/>
      <c r="C47" s="521"/>
      <c r="D47" s="513">
        <v>90</v>
      </c>
      <c r="E47" s="514">
        <v>90000</v>
      </c>
      <c r="F47" s="514">
        <v>90000</v>
      </c>
      <c r="G47" s="514">
        <v>90000</v>
      </c>
      <c r="H47" s="514">
        <v>90000</v>
      </c>
      <c r="I47" s="514">
        <v>90000</v>
      </c>
      <c r="J47" s="505"/>
      <c r="K47" s="505"/>
      <c r="L47" s="505"/>
    </row>
    <row r="48" spans="2:12" ht="19.8" x14ac:dyDescent="0.3">
      <c r="B48" s="505"/>
      <c r="C48" s="522"/>
      <c r="D48" s="513">
        <v>100</v>
      </c>
      <c r="E48" s="514">
        <v>100000</v>
      </c>
      <c r="F48" s="514">
        <v>100000</v>
      </c>
      <c r="G48" s="514">
        <v>100000</v>
      </c>
      <c r="H48" s="514">
        <v>100000</v>
      </c>
      <c r="I48" s="514">
        <v>100000</v>
      </c>
      <c r="J48" s="505"/>
      <c r="K48" s="505"/>
      <c r="L48" s="505"/>
    </row>
  </sheetData>
  <mergeCells count="3">
    <mergeCell ref="B2:C2"/>
    <mergeCell ref="E38:I38"/>
    <mergeCell ref="C40:C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</vt:i4>
      </vt:variant>
    </vt:vector>
  </HeadingPairs>
  <TitlesOfParts>
    <vt:vector size="29" baseType="lpstr">
      <vt:lpstr>Excel Interface</vt:lpstr>
      <vt:lpstr>Data Formating </vt:lpstr>
      <vt:lpstr>Data Type</vt:lpstr>
      <vt:lpstr>sorting and Filtering</vt:lpstr>
      <vt:lpstr>Basic formula and functions</vt:lpstr>
      <vt:lpstr>Cell referencing and Percentage</vt:lpstr>
      <vt:lpstr>Text Function</vt:lpstr>
      <vt:lpstr>Data Filtering</vt:lpstr>
      <vt:lpstr>Date &amp; Time Function</vt:lpstr>
      <vt:lpstr>If &amp; Ifs</vt:lpstr>
      <vt:lpstr>Logical Operators</vt:lpstr>
      <vt:lpstr>logical Function</vt:lpstr>
      <vt:lpstr>HLOOKUP </vt:lpstr>
      <vt:lpstr>Vlookup</vt:lpstr>
      <vt:lpstr>LOOKUP</vt:lpstr>
      <vt:lpstr>XLOOKUP</vt:lpstr>
      <vt:lpstr>Index and Match Function</vt:lpstr>
      <vt:lpstr>Data Validation</vt:lpstr>
      <vt:lpstr>Paste Special</vt:lpstr>
      <vt:lpstr>Conditional Formatting</vt:lpstr>
      <vt:lpstr>Scenario manager</vt:lpstr>
      <vt:lpstr>Scenario Summary</vt:lpstr>
      <vt:lpstr>Goal seek-1</vt:lpstr>
      <vt:lpstr>Goal seek-2</vt:lpstr>
      <vt:lpstr>Data Table</vt:lpstr>
      <vt:lpstr>CPU</vt:lpstr>
      <vt:lpstr>Motherboards</vt:lpstr>
      <vt:lpstr>RAM</vt:lpstr>
      <vt:lpstr>Speakers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KUMAR</dc:creator>
  <cp:lastModifiedBy>SATYAM KUMAR</cp:lastModifiedBy>
  <dcterms:created xsi:type="dcterms:W3CDTF">2026-07-12T10:39:58Z</dcterms:created>
  <dcterms:modified xsi:type="dcterms:W3CDTF">2026-09-09T09:23:24Z</dcterms:modified>
</cp:coreProperties>
</file>