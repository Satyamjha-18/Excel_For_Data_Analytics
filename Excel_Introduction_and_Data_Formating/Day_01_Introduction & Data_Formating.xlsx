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ink/ink2.xml" ContentType="application/inkml+xml"/>
  <Override PartName="/xl/ink/ink3.xml" ContentType="application/inkml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e01621777f20dcb/Desktop/Excel_For_Data_Analytics/Excel_Introduction_and_Data_Formating/"/>
    </mc:Choice>
  </mc:AlternateContent>
  <xr:revisionPtr revIDLastSave="1614" documentId="8_{5BFF8888-E61D-45DF-9242-3D43603A95FF}" xr6:coauthVersionLast="47" xr6:coauthVersionMax="47" xr10:uidLastSave="{A40C67BE-318B-40D3-ACEF-F0292846E20C}"/>
  <bookViews>
    <workbookView xWindow="-108" yWindow="-108" windowWidth="23256" windowHeight="12456" firstSheet="9" activeTab="9" xr2:uid="{E6744EAD-35E1-4258-81F8-3CB7F274373C}"/>
  </bookViews>
  <sheets>
    <sheet name="Excel Interface" sheetId="1" r:id="rId1"/>
    <sheet name="Data Formating " sheetId="2" r:id="rId2"/>
    <sheet name="Data Type" sheetId="3" r:id="rId3"/>
    <sheet name="sorting and Filtering" sheetId="5" r:id="rId4"/>
    <sheet name="Basic formula and functions" sheetId="6" r:id="rId5"/>
    <sheet name="Sheet3" sheetId="11" r:id="rId6"/>
    <sheet name="Cell referencing and Percentage" sheetId="7" r:id="rId7"/>
    <sheet name="Text Function" sheetId="8" r:id="rId8"/>
    <sheet name="Data Filtering" sheetId="12" r:id="rId9"/>
    <sheet name="Date &amp; Time Function" sheetId="9" r:id="rId10"/>
    <sheet name="Sheet2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" i="9" l="1"/>
  <c r="G22" i="9"/>
  <c r="G21" i="9"/>
  <c r="G20" i="9"/>
  <c r="F23" i="9"/>
  <c r="F22" i="9"/>
  <c r="F21" i="9"/>
  <c r="F20" i="9"/>
  <c r="I14" i="9"/>
  <c r="I13" i="9"/>
  <c r="I12" i="9"/>
  <c r="I11" i="9"/>
  <c r="I8" i="9"/>
  <c r="I7" i="9"/>
  <c r="I6" i="9"/>
  <c r="I4" i="9"/>
  <c r="H4" i="9"/>
  <c r="G4" i="9"/>
  <c r="H18" i="12"/>
  <c r="J18" i="12"/>
  <c r="H26" i="8"/>
  <c r="H25" i="8"/>
  <c r="H24" i="8"/>
  <c r="H23" i="8"/>
  <c r="H22" i="8"/>
  <c r="H21" i="8"/>
  <c r="G26" i="8"/>
  <c r="G25" i="8"/>
  <c r="G24" i="8"/>
  <c r="G23" i="8"/>
  <c r="G22" i="8"/>
  <c r="G21" i="8"/>
  <c r="G19" i="8"/>
  <c r="G20" i="8"/>
  <c r="I43" i="8"/>
  <c r="H43" i="8"/>
  <c r="F31" i="8"/>
  <c r="F32" i="8"/>
  <c r="F30" i="8"/>
  <c r="E32" i="8"/>
  <c r="E31" i="8"/>
  <c r="E30" i="8"/>
  <c r="H20" i="8"/>
  <c r="H19" i="8"/>
  <c r="H18" i="8"/>
  <c r="G18" i="8"/>
  <c r="F20" i="8"/>
  <c r="F21" i="8"/>
  <c r="F22" i="8"/>
  <c r="F23" i="8"/>
  <c r="F24" i="8"/>
  <c r="F25" i="8"/>
  <c r="F26" i="8"/>
  <c r="F19" i="8"/>
  <c r="F18" i="8"/>
  <c r="E20" i="8"/>
  <c r="E21" i="8"/>
  <c r="E22" i="8"/>
  <c r="E23" i="8"/>
  <c r="E24" i="8"/>
  <c r="E25" i="8"/>
  <c r="E26" i="8"/>
  <c r="E19" i="8"/>
  <c r="D18" i="8"/>
  <c r="E18" i="8"/>
  <c r="D20" i="8"/>
  <c r="D21" i="8"/>
  <c r="D22" i="8"/>
  <c r="D23" i="8"/>
  <c r="D24" i="8"/>
  <c r="D25" i="8"/>
  <c r="D26" i="8"/>
  <c r="D19" i="8"/>
  <c r="I8" i="8"/>
  <c r="I9" i="8"/>
  <c r="I10" i="8"/>
  <c r="I11" i="8"/>
  <c r="I12" i="8"/>
  <c r="I13" i="8"/>
  <c r="I7" i="8"/>
  <c r="G5" i="8"/>
  <c r="I6" i="8"/>
  <c r="I5" i="8"/>
  <c r="H7" i="8"/>
  <c r="H8" i="8"/>
  <c r="H9" i="8"/>
  <c r="H10" i="8"/>
  <c r="H11" i="8"/>
  <c r="H12" i="8"/>
  <c r="H13" i="8"/>
  <c r="H5" i="8"/>
  <c r="H6" i="8"/>
  <c r="G6" i="8"/>
  <c r="G7" i="8"/>
  <c r="G8" i="8"/>
  <c r="G9" i="8"/>
  <c r="G10" i="8"/>
  <c r="G11" i="8"/>
  <c r="G12" i="8"/>
  <c r="G13" i="8"/>
  <c r="F7" i="8"/>
  <c r="F8" i="8"/>
  <c r="F9" i="8"/>
  <c r="F10" i="8"/>
  <c r="F11" i="8"/>
  <c r="F12" i="8"/>
  <c r="F13" i="8"/>
  <c r="F6" i="8"/>
  <c r="F5" i="8"/>
  <c r="E7" i="8"/>
  <c r="E8" i="8"/>
  <c r="E9" i="8"/>
  <c r="E10" i="8"/>
  <c r="E11" i="8"/>
  <c r="E12" i="8"/>
  <c r="E13" i="8"/>
  <c r="E6" i="8"/>
  <c r="E5" i="8"/>
  <c r="D7" i="8"/>
  <c r="D8" i="8"/>
  <c r="D9" i="8"/>
  <c r="D10" i="8"/>
  <c r="D11" i="8"/>
  <c r="D12" i="8"/>
  <c r="D13" i="8"/>
  <c r="D6" i="8"/>
  <c r="D5" i="8"/>
  <c r="K24" i="7"/>
  <c r="K25" i="7"/>
  <c r="K26" i="7"/>
  <c r="K27" i="7"/>
  <c r="K23" i="7"/>
  <c r="J24" i="7"/>
  <c r="J25" i="7"/>
  <c r="J26" i="7"/>
  <c r="J27" i="7"/>
  <c r="J23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4" i="7"/>
  <c r="K12" i="7"/>
  <c r="K13" i="7"/>
  <c r="K14" i="7"/>
  <c r="K15" i="7"/>
  <c r="K16" i="7"/>
  <c r="K17" i="7"/>
  <c r="K9" i="7"/>
  <c r="K10" i="7"/>
  <c r="K11" i="7"/>
  <c r="K8" i="7"/>
  <c r="K7" i="7"/>
  <c r="K6" i="7"/>
  <c r="K5" i="7"/>
  <c r="K4" i="7"/>
  <c r="I37" i="6"/>
  <c r="I38" i="6"/>
  <c r="C24" i="6"/>
  <c r="I24" i="6"/>
  <c r="I22" i="6"/>
  <c r="I23" i="6"/>
  <c r="I21" i="6"/>
  <c r="I20" i="6"/>
  <c r="I18" i="6"/>
  <c r="I14" i="6"/>
  <c r="I15" i="6"/>
  <c r="I10" i="6"/>
  <c r="I8" i="6"/>
  <c r="I5" i="6"/>
  <c r="I6" i="6"/>
  <c r="C29" i="6"/>
  <c r="C33" i="6"/>
  <c r="C32" i="6"/>
  <c r="C31" i="6"/>
  <c r="C30" i="6"/>
</calcChain>
</file>

<file path=xl/sharedStrings.xml><?xml version="1.0" encoding="utf-8"?>
<sst xmlns="http://schemas.openxmlformats.org/spreadsheetml/2006/main" count="585" uniqueCount="363">
  <si>
    <t>1.edit in data  (F2)/double click</t>
  </si>
  <si>
    <t>data entry</t>
  </si>
  <si>
    <t>text</t>
  </si>
  <si>
    <t xml:space="preserve">number </t>
  </si>
  <si>
    <t>dates</t>
  </si>
  <si>
    <t>Autofill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</si>
  <si>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</si>
  <si>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</si>
  <si>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</si>
  <si>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</si>
  <si>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</si>
  <si>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</si>
  <si>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</si>
  <si>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</si>
  <si>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</si>
  <si>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</si>
  <si>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</si>
  <si>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</si>
  <si>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Monday</t>
  </si>
  <si>
    <t>Tuesday</t>
  </si>
  <si>
    <t>Wednesday</t>
  </si>
  <si>
    <t>Thursday</t>
  </si>
  <si>
    <t>Friday</t>
  </si>
  <si>
    <t>Saturday</t>
  </si>
  <si>
    <t>Sunday</t>
  </si>
  <si>
    <t>2. Undo = ctrl+z</t>
  </si>
  <si>
    <t>3.redo = ctrl+Y</t>
  </si>
  <si>
    <t>3. Find =ctrl+F</t>
  </si>
  <si>
    <t>4. replace = crtl+H</t>
  </si>
  <si>
    <t>Component</t>
  </si>
  <si>
    <t>Description</t>
  </si>
  <si>
    <t>Workbook</t>
  </si>
  <si>
    <t>Worksheet</t>
  </si>
  <si>
    <t>Row</t>
  </si>
  <si>
    <t>Column</t>
  </si>
  <si>
    <t>Cell</t>
  </si>
  <si>
    <t>Name</t>
  </si>
  <si>
    <t>Formula Bar</t>
  </si>
  <si>
    <t>Ribbon</t>
  </si>
  <si>
    <t>Quick Access Toolbar</t>
  </si>
  <si>
    <t>Status bar</t>
  </si>
  <si>
    <t>Collection of worksheets</t>
  </si>
  <si>
    <t>Single spreadsheet page</t>
  </si>
  <si>
    <t>Horizontal  cells</t>
  </si>
  <si>
    <t>Vertical cell</t>
  </si>
  <si>
    <t>Intersection of row and column</t>
  </si>
  <si>
    <t>Show active cell</t>
  </si>
  <si>
    <t>Display worksheet information</t>
  </si>
  <si>
    <t>Department</t>
  </si>
  <si>
    <t>city</t>
  </si>
  <si>
    <t>Rahuh</t>
  </si>
  <si>
    <t>Sanya</t>
  </si>
  <si>
    <t>aayan</t>
  </si>
  <si>
    <t>krish</t>
  </si>
  <si>
    <t>Aman</t>
  </si>
  <si>
    <t xml:space="preserve">Satyam </t>
  </si>
  <si>
    <t>HR</t>
  </si>
  <si>
    <t>Data Analytics</t>
  </si>
  <si>
    <t>Finance</t>
  </si>
  <si>
    <t>sales</t>
  </si>
  <si>
    <t>IT</t>
  </si>
  <si>
    <t>bihar</t>
  </si>
  <si>
    <t>bhopal</t>
  </si>
  <si>
    <t>Mumbai</t>
  </si>
  <si>
    <t>Indore</t>
  </si>
  <si>
    <t>Pune</t>
  </si>
  <si>
    <t>Banglore</t>
  </si>
  <si>
    <t xml:space="preserve">Product </t>
  </si>
  <si>
    <t>price</t>
  </si>
  <si>
    <t>Discount</t>
  </si>
  <si>
    <t>Final Price</t>
  </si>
  <si>
    <t>Laptop</t>
  </si>
  <si>
    <t>Mobile</t>
  </si>
  <si>
    <t>Mouse</t>
  </si>
  <si>
    <t>Keybord</t>
  </si>
  <si>
    <t>Employee Information</t>
  </si>
  <si>
    <t>ID</t>
  </si>
  <si>
    <t>Age</t>
  </si>
  <si>
    <t>Salary</t>
  </si>
  <si>
    <t>Satyam</t>
  </si>
  <si>
    <t>Rajan</t>
  </si>
  <si>
    <t>Keshav</t>
  </si>
  <si>
    <t>abhinav</t>
  </si>
  <si>
    <t>Kartikey</t>
  </si>
  <si>
    <t>aditya</t>
  </si>
  <si>
    <t>prashant</t>
  </si>
  <si>
    <t>Zaid</t>
  </si>
  <si>
    <t>shubham</t>
  </si>
  <si>
    <t>rohan</t>
  </si>
  <si>
    <t>amit</t>
  </si>
  <si>
    <t>suresh</t>
  </si>
  <si>
    <t>sachin</t>
  </si>
  <si>
    <t>Marketing</t>
  </si>
  <si>
    <t>Madhav</t>
  </si>
  <si>
    <t>Microsoft Excel - Introduction &amp; Interface</t>
  </si>
  <si>
    <t>Contains all Excel tools</t>
  </si>
  <si>
    <t>Frequently used commands</t>
  </si>
  <si>
    <t>used to enter/edit formulas</t>
  </si>
  <si>
    <t>Text Data Type</t>
  </si>
  <si>
    <t>Data Formating</t>
  </si>
  <si>
    <t xml:space="preserve">Numeric data type </t>
  </si>
  <si>
    <t>Feb</t>
  </si>
  <si>
    <t>Jan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</si>
  <si>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</si>
  <si>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</si>
  <si>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</si>
  <si>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</si>
  <si>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</si>
  <si>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</si>
  <si>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</si>
  <si>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</si>
  <si>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</si>
  <si>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</si>
  <si>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step  of data type: home -&gt;Number&gt;-Genral</t>
  </si>
  <si>
    <t>sanya</t>
  </si>
  <si>
    <t>keshav</t>
  </si>
  <si>
    <t>rajan</t>
  </si>
  <si>
    <t>satyam</t>
  </si>
  <si>
    <t>kittu</t>
  </si>
  <si>
    <t>LOW TO HIGH</t>
  </si>
  <si>
    <t>HIGH TO LOW</t>
  </si>
  <si>
    <t>Items</t>
  </si>
  <si>
    <t>Prices</t>
  </si>
  <si>
    <t>Dates</t>
  </si>
  <si>
    <t>Regions</t>
  </si>
  <si>
    <t>Beauty products</t>
  </si>
  <si>
    <t>South</t>
  </si>
  <si>
    <t>Mobile Accessories</t>
  </si>
  <si>
    <t>East</t>
  </si>
  <si>
    <t>Home décor</t>
  </si>
  <si>
    <t>Kitchen ware</t>
  </si>
  <si>
    <t>Smart watch</t>
  </si>
  <si>
    <t>West</t>
  </si>
  <si>
    <t>Baby products</t>
  </si>
  <si>
    <t>North</t>
  </si>
  <si>
    <t>Jewellery</t>
  </si>
  <si>
    <t>Perfumes</t>
  </si>
  <si>
    <t>Personal care</t>
  </si>
  <si>
    <t>Wrist Watch</t>
  </si>
  <si>
    <t>Bass Headphones</t>
  </si>
  <si>
    <t>Pet supplies</t>
  </si>
  <si>
    <t>Health &amp; wellness</t>
  </si>
  <si>
    <t>Beverages</t>
  </si>
  <si>
    <t>Books</t>
  </si>
  <si>
    <t>*$^</t>
  </si>
  <si>
    <t>Sum of all prices (using autosum function)</t>
  </si>
  <si>
    <t>Sum, Average, Min, Max, Product</t>
  </si>
  <si>
    <t>Sum of prices till C9</t>
  </si>
  <si>
    <t>Sum of all prices</t>
  </si>
  <si>
    <t>PRODUCT of prices till C9</t>
  </si>
  <si>
    <t>Subtraction</t>
  </si>
  <si>
    <t>Average</t>
  </si>
  <si>
    <t>Min</t>
  </si>
  <si>
    <t>Max</t>
  </si>
  <si>
    <t>Count</t>
  </si>
  <si>
    <t>Counta</t>
  </si>
  <si>
    <t>Countblank</t>
  </si>
  <si>
    <t>B29+B30+B31+B32+B33</t>
  </si>
  <si>
    <t>500+600+700+800+900</t>
  </si>
  <si>
    <t>FORMULA</t>
  </si>
  <si>
    <t>B29-B30</t>
  </si>
  <si>
    <t>B33/B32</t>
  </si>
  <si>
    <t>Formulabar</t>
  </si>
  <si>
    <t>average : gives the mean</t>
  </si>
  <si>
    <t>Min: the smallest value</t>
  </si>
  <si>
    <t>Max:the lagest value</t>
  </si>
  <si>
    <t>COUNT: counts the number cells</t>
  </si>
  <si>
    <t>COUNTS: COUNTS non empty cell</t>
  </si>
  <si>
    <t>S. No.</t>
  </si>
  <si>
    <t>Student Names</t>
  </si>
  <si>
    <t>Science</t>
  </si>
  <si>
    <t>Mathematics</t>
  </si>
  <si>
    <t>Social Studies</t>
  </si>
  <si>
    <t>Total Marks</t>
  </si>
  <si>
    <t>Max. Marks</t>
  </si>
  <si>
    <t>Percentage (data format)</t>
  </si>
  <si>
    <t>Percentage</t>
  </si>
  <si>
    <t>Arshad</t>
  </si>
  <si>
    <t>Amina</t>
  </si>
  <si>
    <t>Chetan</t>
  </si>
  <si>
    <t>Chanchal</t>
  </si>
  <si>
    <t>Erina</t>
  </si>
  <si>
    <t>Deepak</t>
  </si>
  <si>
    <t>Deepti</t>
  </si>
  <si>
    <t>Harshad</t>
  </si>
  <si>
    <t>Imli</t>
  </si>
  <si>
    <t>Jane</t>
  </si>
  <si>
    <t>Kajal</t>
  </si>
  <si>
    <t>Kriti</t>
  </si>
  <si>
    <t>Naman</t>
  </si>
  <si>
    <t>Multiply by</t>
  </si>
  <si>
    <t>Constant</t>
  </si>
  <si>
    <t>NAMES</t>
  </si>
  <si>
    <t>UPPER</t>
  </si>
  <si>
    <t>LOWER</t>
  </si>
  <si>
    <t>PROPER</t>
  </si>
  <si>
    <t>LEFT</t>
  </si>
  <si>
    <t>RIGHT</t>
  </si>
  <si>
    <t>MID</t>
  </si>
  <si>
    <t>Ananya Shroff</t>
  </si>
  <si>
    <t>Arohi Sharma</t>
  </si>
  <si>
    <t>Mohandas Karamchand Gandhi</t>
  </si>
  <si>
    <t>Milind Kumar Kalra</t>
  </si>
  <si>
    <t>Anshu Poonawala</t>
  </si>
  <si>
    <t>Rahul Singh Sharma</t>
  </si>
  <si>
    <t>Neil Armstrong</t>
  </si>
  <si>
    <t>Avnish Agrawal</t>
  </si>
  <si>
    <t>Shashank Khan</t>
  </si>
  <si>
    <t>LENGTH</t>
  </si>
  <si>
    <t>TRIM</t>
  </si>
  <si>
    <t>FIND</t>
  </si>
  <si>
    <t>SEARCH</t>
  </si>
  <si>
    <t>Ananya     Pandey</t>
  </si>
  <si>
    <t>Mohandas    Karamchand G    andhi</t>
  </si>
  <si>
    <t xml:space="preserve">           Milind     Kalra</t>
  </si>
  <si>
    <t xml:space="preserve">Anshu          Poonawala      </t>
  </si>
  <si>
    <t xml:space="preserve">Rahul Singh Sharma      </t>
  </si>
  <si>
    <t xml:space="preserve">  Neil   Armstrong</t>
  </si>
  <si>
    <t xml:space="preserve">     Shashank Khan</t>
  </si>
  <si>
    <t>SUBSTITUTE</t>
  </si>
  <si>
    <t>REPLACE</t>
  </si>
  <si>
    <t>Ananya Pandey</t>
  </si>
  <si>
    <t>Batty bought a bit of butter</t>
  </si>
  <si>
    <t>A</t>
  </si>
  <si>
    <t>B</t>
  </si>
  <si>
    <t>CONCATENATE</t>
  </si>
  <si>
    <t>CONCATENATE 2</t>
  </si>
  <si>
    <t>abc</t>
  </si>
  <si>
    <t>xyz</t>
  </si>
  <si>
    <t>def</t>
  </si>
  <si>
    <t>uvw</t>
  </si>
  <si>
    <t xml:space="preserve"> Arohi Sharma</t>
  </si>
  <si>
    <t>ctrl+f=find</t>
  </si>
  <si>
    <t>ctrl+h = replace</t>
  </si>
  <si>
    <t>FUNCTIONS</t>
  </si>
  <si>
    <t>Y</t>
  </si>
  <si>
    <t>Today</t>
  </si>
  <si>
    <t>M</t>
  </si>
  <si>
    <t>Current date</t>
  </si>
  <si>
    <t>Current time</t>
  </si>
  <si>
    <t>Now</t>
  </si>
  <si>
    <t>DATE</t>
  </si>
  <si>
    <t>D</t>
  </si>
  <si>
    <t>Date</t>
  </si>
  <si>
    <t>Day, Month, Year</t>
  </si>
  <si>
    <t>Day</t>
  </si>
  <si>
    <t>Add/Subtract days</t>
  </si>
  <si>
    <t>month</t>
  </si>
  <si>
    <t>Add/Subtract months</t>
  </si>
  <si>
    <t>Year</t>
  </si>
  <si>
    <t>Dates to days</t>
  </si>
  <si>
    <t>Edate</t>
  </si>
  <si>
    <t>Start date</t>
  </si>
  <si>
    <t>End date</t>
  </si>
  <si>
    <t>No. of Months</t>
  </si>
  <si>
    <t>No. of Days</t>
  </si>
  <si>
    <t>EOMonth</t>
  </si>
  <si>
    <t>Weekday</t>
  </si>
  <si>
    <t>Weeknum</t>
  </si>
  <si>
    <t>Days</t>
  </si>
  <si>
    <t>Datedif</t>
  </si>
  <si>
    <t>Calculate age</t>
  </si>
  <si>
    <t>Networkdays</t>
  </si>
  <si>
    <t>Networkdays.intl</t>
  </si>
  <si>
    <t>Months</t>
  </si>
  <si>
    <t>DATES</t>
  </si>
  <si>
    <t>DAY Names</t>
  </si>
  <si>
    <t>Edate (add/subtract)</t>
  </si>
  <si>
    <t>Dates to Days</t>
  </si>
  <si>
    <t>Last day / date of the month</t>
  </si>
  <si>
    <t>EOMONTH</t>
  </si>
  <si>
    <t>Which day of the week ?</t>
  </si>
  <si>
    <t>6/30/2023</t>
  </si>
  <si>
    <t>11/30/2024</t>
  </si>
  <si>
    <t>2/29/2016</t>
  </si>
  <si>
    <t>8/31/2025</t>
  </si>
  <si>
    <t>Which week number in that year?</t>
  </si>
  <si>
    <t>Months' Difference</t>
  </si>
  <si>
    <t>Days' Difference</t>
  </si>
  <si>
    <t>Years' Difference</t>
  </si>
  <si>
    <t>DOB</t>
  </si>
  <si>
    <t>Years</t>
  </si>
  <si>
    <t>AGE</t>
  </si>
  <si>
    <t>8/13/1991</t>
  </si>
  <si>
    <t>TODAY</t>
  </si>
  <si>
    <t>7/24/2026</t>
  </si>
  <si>
    <t>Datedifference</t>
  </si>
  <si>
    <t>HOMEWORK</t>
  </si>
  <si>
    <t>Units</t>
  </si>
  <si>
    <t>MD</t>
  </si>
  <si>
    <t>YM</t>
  </si>
  <si>
    <t>YD</t>
  </si>
  <si>
    <t>Answer</t>
  </si>
  <si>
    <t>Overall difference in years</t>
  </si>
  <si>
    <t>Overall difference in months</t>
  </si>
  <si>
    <t>Without Holidays</t>
  </si>
  <si>
    <t>With Holidays</t>
  </si>
  <si>
    <t>Overall difference in days</t>
  </si>
  <si>
    <t>Exact difference in days, ignores months and years</t>
  </si>
  <si>
    <t>Exact difference in months, ignores days and years</t>
  </si>
  <si>
    <t>Exact difference in days, ignores years</t>
  </si>
  <si>
    <t>Republic day</t>
  </si>
  <si>
    <t>&lt;-- Does not work the same for foreign countries</t>
  </si>
  <si>
    <t>Washington's birthday</t>
  </si>
  <si>
    <t>National Holidays - USA</t>
  </si>
  <si>
    <t>Independence Day</t>
  </si>
  <si>
    <t>Gandhi Jayanti</t>
  </si>
  <si>
    <t>Labor day</t>
  </si>
  <si>
    <t>Names</t>
  </si>
  <si>
    <t>Total Scores</t>
  </si>
  <si>
    <t>RESULT</t>
  </si>
  <si>
    <t>Excellent</t>
  </si>
  <si>
    <t>Criteria - Scores &gt;= 180, Excellent</t>
  </si>
  <si>
    <t>2 conditions</t>
  </si>
  <si>
    <t>Very good</t>
  </si>
  <si>
    <t>Ifs function</t>
  </si>
  <si>
    <t>C</t>
  </si>
  <si>
    <t>Good</t>
  </si>
  <si>
    <t>Average performance</t>
  </si>
  <si>
    <t>SUMIF</t>
  </si>
  <si>
    <t>AVERAGEIF</t>
  </si>
  <si>
    <t>E</t>
  </si>
  <si>
    <t>3 conditions</t>
  </si>
  <si>
    <t>Average Performance</t>
  </si>
  <si>
    <t>F</t>
  </si>
  <si>
    <t>G</t>
  </si>
  <si>
    <t>H</t>
  </si>
  <si>
    <t>I</t>
  </si>
  <si>
    <t>4 conditions</t>
  </si>
  <si>
    <t>J</t>
  </si>
  <si>
    <t>K</t>
  </si>
  <si>
    <t>L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</si>
  <si>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</si>
  <si>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</si>
  <si>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</si>
  <si>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</si>
  <si>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</si>
  <si>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</si>
  <si>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</si>
  <si>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</si>
  <si>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</si>
  <si>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</si>
  <si>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</si>
  <si>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Z</t>
  </si>
  <si>
    <t>AB</t>
  </si>
  <si>
    <t>BC</t>
  </si>
  <si>
    <t>CD</t>
  </si>
  <si>
    <t>DE</t>
  </si>
  <si>
    <t>EF</t>
  </si>
  <si>
    <t>FG</t>
  </si>
  <si>
    <t>GH</t>
  </si>
  <si>
    <t>how to convert data into table : select all -&gt; ctrl+t -. Ok</t>
  </si>
  <si>
    <t>ctrl+;</t>
  </si>
  <si>
    <t>crtl+shift+;</t>
  </si>
  <si>
    <t>Today()</t>
  </si>
  <si>
    <t>now()</t>
  </si>
  <si>
    <t>date(year,month,date)</t>
  </si>
  <si>
    <t>Adding /Substract No of days</t>
  </si>
  <si>
    <t>Adding &amp; substract month</t>
  </si>
  <si>
    <t>1. Sunday=dddd</t>
  </si>
  <si>
    <t>2.sun =ddd</t>
  </si>
  <si>
    <t>01=dd</t>
  </si>
  <si>
    <t>12=month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</si>
</sst>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₹&quot;\ #,##0.00"/>
    <numFmt numFmtId="165" formatCode="&quot;₹&quot;\ #,##0"/>
    <numFmt numFmtId="166" formatCode="[$-F800]dddd\,\ mmmm\ dd\,\ yyyy"/>
  </numFmts>
  <fonts count="5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4"/>
      <color rgb="FF7030A0"/>
      <name val="Calibri"/>
      <family val="2"/>
      <scheme val="minor"/>
    </font>
    <font>
      <sz val="18"/>
      <color rgb="FF7030A0"/>
      <name val="Calibri"/>
      <family val="2"/>
      <scheme val="minor"/>
    </font>
    <font>
      <sz val="14"/>
      <color theme="1"/>
      <name val="Bookman Old Style"/>
      <family val="1"/>
    </font>
    <font>
      <b/>
      <sz val="16"/>
      <color theme="1"/>
      <name val="Calibri"/>
      <family val="2"/>
      <scheme val="minor"/>
    </font>
    <font>
      <b/>
      <u/>
      <sz val="14"/>
      <color theme="1"/>
      <name val="Bookman Old Style"/>
      <family val="1"/>
    </font>
    <font>
      <sz val="12"/>
      <color theme="1"/>
      <name val="Bookman Old Style"/>
      <family val="1"/>
    </font>
    <font>
      <b/>
      <u/>
      <sz val="12"/>
      <color theme="1"/>
      <name val="Bookman Old Style"/>
      <family val="1"/>
    </font>
    <font>
      <sz val="13"/>
      <color theme="1"/>
      <name val="Bookman Old Style"/>
      <family val="1"/>
    </font>
    <font>
      <b/>
      <sz val="12"/>
      <color theme="1"/>
      <name val="Bookman Old Style"/>
      <family val="1"/>
    </font>
    <font>
      <b/>
      <sz val="12"/>
      <color rgb="FFFF0000"/>
      <name val="Bookman Old Style"/>
      <family val="1"/>
    </font>
    <font>
      <b/>
      <sz val="13"/>
      <color rgb="FFFF0000"/>
      <name val="Bookman Old Style"/>
      <family val="1"/>
    </font>
    <font>
      <b/>
      <i/>
      <u/>
      <sz val="12"/>
      <color theme="1"/>
      <name val="Bookman Old Style"/>
      <family val="1"/>
    </font>
    <font>
      <b/>
      <i/>
      <u/>
      <sz val="13"/>
      <color theme="1"/>
      <name val="Bookman Old Style"/>
      <family val="1"/>
    </font>
    <font>
      <sz val="12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00B050"/>
      <name val="Calibri"/>
      <family val="2"/>
      <scheme val="minor"/>
    </font>
    <font>
      <b/>
      <u/>
      <sz val="12"/>
      <color theme="1"/>
      <name val="Book Antiqua"/>
      <family val="1"/>
    </font>
    <font>
      <sz val="12"/>
      <color theme="1"/>
      <name val="Book Antiqua"/>
      <family val="1"/>
    </font>
    <font>
      <sz val="14"/>
      <color theme="1"/>
      <name val="Cambria"/>
      <family val="1"/>
    </font>
    <font>
      <b/>
      <i/>
      <sz val="14"/>
      <color theme="1"/>
      <name val="Cambria"/>
      <family val="1"/>
    </font>
    <font>
      <b/>
      <sz val="14"/>
      <color theme="1"/>
      <name val="Cambria"/>
      <family val="1"/>
    </font>
    <font>
      <b/>
      <sz val="12"/>
      <color theme="1"/>
      <name val="Book Antiqua"/>
      <family val="1"/>
    </font>
    <font>
      <b/>
      <sz val="12"/>
      <color theme="1"/>
      <name val="Amasis MT Pro"/>
      <family val="1"/>
    </font>
    <font>
      <sz val="11"/>
      <color theme="1"/>
      <name val="Aptos Narrow"/>
      <family val="2"/>
    </font>
    <font>
      <sz val="12"/>
      <color theme="1"/>
      <name val="Amasis MT Pro"/>
      <family val="1"/>
    </font>
    <font>
      <b/>
      <i/>
      <u/>
      <sz val="12"/>
      <color theme="1"/>
      <name val="Amasis MT Pro"/>
      <family val="1"/>
    </font>
    <font>
      <b/>
      <u/>
      <sz val="12"/>
      <color theme="1"/>
      <name val="Amasis MT Pro"/>
      <family val="1"/>
    </font>
    <font>
      <b/>
      <u/>
      <sz val="16"/>
      <color rgb="FFFF0000"/>
      <name val="Amasis MT Pro"/>
      <family val="1"/>
    </font>
    <font>
      <b/>
      <u/>
      <sz val="12"/>
      <color rgb="FFFFFFFF"/>
      <name val="Amasis MT Pro"/>
      <family val="1"/>
    </font>
    <font>
      <b/>
      <u/>
      <sz val="14"/>
      <color theme="1"/>
      <name val="Amasis MT Pro"/>
      <family val="1"/>
    </font>
    <font>
      <b/>
      <sz val="14"/>
      <color theme="1"/>
      <name val="Amasis MT Pro"/>
      <family val="1"/>
    </font>
    <font>
      <b/>
      <i/>
      <u/>
      <sz val="14"/>
      <color rgb="FFFF0000"/>
      <name val="Amasis MT Pro"/>
      <family val="1"/>
    </font>
    <font>
      <b/>
      <sz val="36"/>
      <color theme="1"/>
      <name val="Calibri"/>
      <family val="2"/>
      <scheme val="minor"/>
    </font>
    <font>
      <b/>
      <sz val="11"/>
      <color theme="1"/>
      <name val="Aptos Narrow"/>
      <family val="2"/>
    </font>
    <font>
      <b/>
      <sz val="14"/>
      <color theme="1"/>
      <name val="Aptos Narrow"/>
      <family val="2"/>
    </font>
    <font>
      <b/>
      <sz val="12"/>
      <color theme="1"/>
      <name val="Aptos Narrow"/>
      <family val="2"/>
    </font>
    <font>
      <b/>
      <sz val="16"/>
      <color theme="1"/>
      <name val="Aptos Narrow"/>
      <family val="2"/>
    </font>
  </fonts>
  <fills count="3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E49EDD"/>
        <bgColor indexed="64"/>
      </patternFill>
    </fill>
    <fill>
      <patternFill patternType="solid">
        <fgColor rgb="FF95DCF7"/>
        <bgColor indexed="64"/>
      </patternFill>
    </fill>
    <fill>
      <patternFill patternType="solid">
        <fgColor rgb="FFF1CEEE"/>
        <bgColor indexed="64"/>
      </patternFill>
    </fill>
    <fill>
      <patternFill patternType="solid">
        <fgColor rgb="FFFFFFFF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thick">
        <color theme="1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/>
      <diagonal/>
    </border>
    <border>
      <left style="medium">
        <color rgb="FF000000"/>
      </left>
      <right style="medium">
        <color rgb="FFCCCCCC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CCCCCC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9" fontId="5" fillId="0" borderId="0" applyFont="0" applyFill="0" applyBorder="0" applyAlignment="0" applyProtection="0"/>
    <xf numFmtId="0" fontId="5" fillId="0" borderId="0"/>
    <xf numFmtId="0" fontId="26" fillId="0" borderId="0"/>
    <xf numFmtId="0" fontId="5" fillId="0" borderId="0"/>
  </cellStyleXfs>
  <cellXfs count="220">
    <xf numFmtId="0" fontId="0" fillId="0" borderId="0" xfId="0"/>
    <xf numFmtId="0" fontId="0" fillId="4" borderId="0" xfId="0" applyFill="1"/>
    <xf numFmtId="0" fontId="0" fillId="0" borderId="1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left" vertical="top"/>
    </xf>
    <xf numFmtId="0" fontId="6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10" borderId="0" xfId="0" applyFill="1"/>
    <xf numFmtId="0" fontId="0" fillId="11" borderId="0" xfId="0" applyFill="1"/>
    <xf numFmtId="0" fontId="1" fillId="6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0" fillId="9" borderId="0" xfId="0" applyFill="1"/>
    <xf numFmtId="9" fontId="0" fillId="11" borderId="0" xfId="0" applyNumberFormat="1" applyFill="1"/>
    <xf numFmtId="0" fontId="0" fillId="2" borderId="0" xfId="0" applyFill="1"/>
    <xf numFmtId="0" fontId="6" fillId="12" borderId="0" xfId="0" applyFont="1" applyFill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horizontal="right"/>
    </xf>
    <xf numFmtId="0" fontId="0" fillId="10" borderId="1" xfId="0" applyFill="1" applyBorder="1"/>
    <xf numFmtId="0" fontId="0" fillId="10" borderId="1" xfId="0" applyFill="1" applyBorder="1" applyAlignment="1">
      <alignment horizontal="left"/>
    </xf>
    <xf numFmtId="0" fontId="0" fillId="13" borderId="1" xfId="0" applyFill="1" applyBorder="1"/>
    <xf numFmtId="0" fontId="0" fillId="6" borderId="1" xfId="0" applyFill="1" applyBorder="1"/>
    <xf numFmtId="0" fontId="6" fillId="14" borderId="1" xfId="0" applyFont="1" applyFill="1" applyBorder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wrapText="1"/>
    </xf>
    <xf numFmtId="2" fontId="1" fillId="5" borderId="2" xfId="0" applyNumberFormat="1" applyFont="1" applyFill="1" applyBorder="1"/>
    <xf numFmtId="49" fontId="1" fillId="19" borderId="2" xfId="0" applyNumberFormat="1" applyFont="1" applyFill="1" applyBorder="1"/>
    <xf numFmtId="14" fontId="1" fillId="20" borderId="2" xfId="0" applyNumberFormat="1" applyFont="1" applyFill="1" applyBorder="1"/>
    <xf numFmtId="164" fontId="1" fillId="21" borderId="2" xfId="0" applyNumberFormat="1" applyFont="1" applyFill="1" applyBorder="1"/>
    <xf numFmtId="165" fontId="1" fillId="22" borderId="2" xfId="0" applyNumberFormat="1" applyFont="1" applyFill="1" applyBorder="1"/>
    <xf numFmtId="166" fontId="1" fillId="20" borderId="2" xfId="0" applyNumberFormat="1" applyFont="1" applyFill="1" applyBorder="1"/>
    <xf numFmtId="0" fontId="0" fillId="0" borderId="2" xfId="0" applyBorder="1"/>
    <xf numFmtId="9" fontId="0" fillId="0" borderId="2" xfId="1" applyFont="1" applyBorder="1"/>
    <xf numFmtId="9" fontId="0" fillId="0" borderId="2" xfId="1" applyFont="1" applyBorder="1" applyAlignment="1">
      <alignment wrapText="1"/>
    </xf>
    <xf numFmtId="49" fontId="1" fillId="0" borderId="0" xfId="0" applyNumberFormat="1" applyFont="1"/>
    <xf numFmtId="0" fontId="0" fillId="0" borderId="2" xfId="0" applyBorder="1" applyAlignment="1">
      <alignment horizontal="left" vertical="center"/>
    </xf>
    <xf numFmtId="0" fontId="17" fillId="24" borderId="1" xfId="2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9" fillId="6" borderId="1" xfId="2" applyFont="1" applyFill="1" applyBorder="1" applyAlignment="1">
      <alignment horizontal="center" vertical="center" wrapText="1"/>
    </xf>
    <xf numFmtId="165" fontId="21" fillId="6" borderId="1" xfId="0" applyNumberFormat="1" applyFont="1" applyFill="1" applyBorder="1" applyAlignment="1">
      <alignment horizontal="center" vertical="center"/>
    </xf>
    <xf numFmtId="165" fontId="21" fillId="6" borderId="0" xfId="0" applyNumberFormat="1" applyFont="1" applyFill="1" applyAlignment="1">
      <alignment horizontal="center" vertical="center"/>
    </xf>
    <xf numFmtId="165" fontId="21" fillId="24" borderId="1" xfId="0" applyNumberFormat="1" applyFont="1" applyFill="1" applyBorder="1" applyAlignment="1">
      <alignment horizontal="center" vertical="center"/>
    </xf>
    <xf numFmtId="0" fontId="21" fillId="24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2" fontId="21" fillId="0" borderId="1" xfId="0" applyNumberFormat="1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5" fontId="21" fillId="0" borderId="1" xfId="0" applyNumberFormat="1" applyFont="1" applyBorder="1" applyAlignment="1">
      <alignment horizontal="center" vertical="center"/>
    </xf>
    <xf numFmtId="165" fontId="18" fillId="0" borderId="1" xfId="0" applyNumberFormat="1" applyFont="1" applyBorder="1" applyAlignment="1">
      <alignment horizontal="center" vertical="center"/>
    </xf>
    <xf numFmtId="0" fontId="18" fillId="24" borderId="0" xfId="0" applyFont="1" applyFill="1" applyAlignment="1">
      <alignment horizontal="center" vertical="center"/>
    </xf>
    <xf numFmtId="0" fontId="20" fillId="24" borderId="1" xfId="2" applyFont="1" applyFill="1" applyBorder="1" applyAlignment="1">
      <alignment horizontal="center" vertical="center" wrapText="1"/>
    </xf>
    <xf numFmtId="0" fontId="20" fillId="24" borderId="5" xfId="2" applyFont="1" applyFill="1" applyBorder="1" applyAlignment="1">
      <alignment horizontal="center" vertical="center" wrapText="1"/>
    </xf>
    <xf numFmtId="0" fontId="20" fillId="24" borderId="7" xfId="2" applyFont="1" applyFill="1" applyBorder="1" applyAlignment="1">
      <alignment horizontal="center" vertical="center" wrapText="1"/>
    </xf>
    <xf numFmtId="0" fontId="20" fillId="24" borderId="8" xfId="2" applyFont="1" applyFill="1" applyBorder="1" applyAlignment="1">
      <alignment horizontal="center" vertical="center" wrapText="1"/>
    </xf>
    <xf numFmtId="0" fontId="20" fillId="24" borderId="10" xfId="2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166" fontId="17" fillId="24" borderId="1" xfId="2" applyNumberFormat="1" applyFont="1" applyFill="1" applyBorder="1" applyAlignment="1">
      <alignment horizontal="center" vertical="center" wrapText="1"/>
    </xf>
    <xf numFmtId="166" fontId="20" fillId="24" borderId="1" xfId="2" applyNumberFormat="1" applyFont="1" applyFill="1" applyBorder="1" applyAlignment="1">
      <alignment horizontal="center" vertical="center" wrapText="1"/>
    </xf>
    <xf numFmtId="166" fontId="20" fillId="24" borderId="4" xfId="2" applyNumberFormat="1" applyFont="1" applyFill="1" applyBorder="1" applyAlignment="1">
      <alignment horizontal="center" vertical="center" wrapText="1"/>
    </xf>
    <xf numFmtId="166" fontId="20" fillId="24" borderId="5" xfId="2" applyNumberFormat="1" applyFont="1" applyFill="1" applyBorder="1" applyAlignment="1">
      <alignment horizontal="center" vertical="center" wrapText="1"/>
    </xf>
    <xf numFmtId="166" fontId="20" fillId="24" borderId="9" xfId="2" applyNumberFormat="1" applyFont="1" applyFill="1" applyBorder="1" applyAlignment="1">
      <alignment horizontal="center" vertical="center" wrapText="1"/>
    </xf>
    <xf numFmtId="166" fontId="20" fillId="24" borderId="10" xfId="2" applyNumberFormat="1" applyFont="1" applyFill="1" applyBorder="1" applyAlignment="1">
      <alignment horizontal="center" vertical="center" wrapText="1"/>
    </xf>
    <xf numFmtId="164" fontId="20" fillId="24" borderId="5" xfId="2" applyNumberFormat="1" applyFont="1" applyFill="1" applyBorder="1" applyAlignment="1">
      <alignment horizontal="center" vertical="center" wrapText="1"/>
    </xf>
    <xf numFmtId="165" fontId="20" fillId="24" borderId="1" xfId="2" applyNumberFormat="1" applyFont="1" applyFill="1" applyBorder="1" applyAlignment="1">
      <alignment horizontal="center" vertical="center" wrapText="1"/>
    </xf>
    <xf numFmtId="165" fontId="20" fillId="24" borderId="5" xfId="2" applyNumberFormat="1" applyFont="1" applyFill="1" applyBorder="1" applyAlignment="1">
      <alignment horizontal="center" vertical="center" wrapText="1"/>
    </xf>
    <xf numFmtId="164" fontId="20" fillId="24" borderId="6" xfId="2" applyNumberFormat="1" applyFont="1" applyFill="1" applyBorder="1" applyAlignment="1">
      <alignment horizontal="center" vertical="center" wrapText="1"/>
    </xf>
    <xf numFmtId="164" fontId="23" fillId="24" borderId="8" xfId="2" applyNumberFormat="1" applyFont="1" applyFill="1" applyBorder="1" applyAlignment="1">
      <alignment horizontal="center" vertical="center" wrapText="1"/>
    </xf>
    <xf numFmtId="0" fontId="24" fillId="2" borderId="1" xfId="2" applyFont="1" applyFill="1" applyBorder="1" applyAlignment="1">
      <alignment horizontal="center" vertical="center" wrapText="1"/>
    </xf>
    <xf numFmtId="165" fontId="15" fillId="24" borderId="1" xfId="2" applyNumberFormat="1" applyFont="1" applyFill="1" applyBorder="1" applyAlignment="1">
      <alignment horizontal="center" vertical="center" wrapText="1"/>
    </xf>
    <xf numFmtId="165" fontId="10" fillId="0" borderId="1" xfId="0" applyNumberFormat="1" applyFont="1" applyBorder="1"/>
    <xf numFmtId="0" fontId="10" fillId="0" borderId="1" xfId="0" applyFont="1" applyBorder="1"/>
    <xf numFmtId="0" fontId="27" fillId="0" borderId="0" xfId="0" applyFont="1" applyAlignment="1">
      <alignment horizontal="center" vertical="center"/>
    </xf>
    <xf numFmtId="0" fontId="2" fillId="0" borderId="1" xfId="0" applyFont="1" applyBorder="1"/>
    <xf numFmtId="0" fontId="2" fillId="0" borderId="1" xfId="0" applyFont="1" applyBorder="1" applyAlignment="1">
      <alignment vertical="center" wrapText="1"/>
    </xf>
    <xf numFmtId="0" fontId="16" fillId="4" borderId="1" xfId="0" applyFont="1" applyFill="1" applyBorder="1"/>
    <xf numFmtId="0" fontId="16" fillId="4" borderId="1" xfId="0" applyFont="1" applyFill="1" applyBorder="1" applyAlignment="1">
      <alignment wrapText="1"/>
    </xf>
    <xf numFmtId="165" fontId="25" fillId="2" borderId="1" xfId="0" applyNumberFormat="1" applyFont="1" applyFill="1" applyBorder="1" applyAlignment="1">
      <alignment horizontal="center" vertical="center"/>
    </xf>
    <xf numFmtId="0" fontId="29" fillId="16" borderId="1" xfId="3" applyFont="1" applyFill="1" applyBorder="1" applyAlignment="1">
      <alignment horizontal="center" vertical="center" wrapText="1"/>
    </xf>
    <xf numFmtId="0" fontId="30" fillId="0" borderId="1" xfId="3" applyFont="1" applyBorder="1" applyAlignment="1">
      <alignment horizontal="center" vertical="center" wrapText="1"/>
    </xf>
    <xf numFmtId="1" fontId="30" fillId="0" borderId="1" xfId="3" applyNumberFormat="1" applyFont="1" applyBorder="1" applyAlignment="1">
      <alignment horizontal="center" vertical="center" wrapText="1"/>
    </xf>
    <xf numFmtId="10" fontId="30" fillId="0" borderId="1" xfId="1" applyNumberFormat="1" applyFont="1" applyBorder="1" applyAlignment="1">
      <alignment horizontal="center" vertical="center" wrapText="1"/>
    </xf>
    <xf numFmtId="0" fontId="29" fillId="16" borderId="7" xfId="3" applyFont="1" applyFill="1" applyBorder="1" applyAlignment="1">
      <alignment horizontal="center" vertical="center" wrapText="1"/>
    </xf>
    <xf numFmtId="2" fontId="30" fillId="0" borderId="7" xfId="1" applyNumberFormat="1" applyFont="1" applyBorder="1" applyAlignment="1">
      <alignment horizontal="center" vertical="center" wrapText="1"/>
    </xf>
    <xf numFmtId="0" fontId="29" fillId="16" borderId="4" xfId="3" applyFont="1" applyFill="1" applyBorder="1" applyAlignment="1">
      <alignment horizontal="center" vertical="center" wrapText="1"/>
    </xf>
    <xf numFmtId="2" fontId="30" fillId="0" borderId="4" xfId="1" applyNumberFormat="1" applyFont="1" applyBorder="1" applyAlignment="1">
      <alignment horizontal="center" vertical="center" wrapText="1"/>
    </xf>
    <xf numFmtId="0" fontId="29" fillId="2" borderId="1" xfId="3" applyFont="1" applyFill="1" applyBorder="1" applyAlignment="1">
      <alignment horizontal="center" vertical="center" wrapText="1"/>
    </xf>
    <xf numFmtId="1" fontId="30" fillId="2" borderId="1" xfId="3" applyNumberFormat="1" applyFont="1" applyFill="1" applyBorder="1" applyAlignment="1">
      <alignment horizontal="center" vertical="center" wrapText="1"/>
    </xf>
    <xf numFmtId="1" fontId="34" fillId="2" borderId="12" xfId="3" applyNumberFormat="1" applyFont="1" applyFill="1" applyBorder="1" applyAlignment="1">
      <alignment horizontal="center" vertical="center" wrapText="1"/>
    </xf>
    <xf numFmtId="0" fontId="30" fillId="2" borderId="1" xfId="3" applyFont="1" applyFill="1" applyBorder="1" applyAlignment="1">
      <alignment horizontal="center" vertical="center" wrapText="1"/>
    </xf>
    <xf numFmtId="10" fontId="0" fillId="0" borderId="0" xfId="0" applyNumberFormat="1"/>
    <xf numFmtId="0" fontId="1" fillId="2" borderId="0" xfId="0" applyFont="1" applyFill="1" applyAlignment="1">
      <alignment horizontal="center"/>
    </xf>
    <xf numFmtId="0" fontId="1" fillId="2" borderId="12" xfId="0" applyFont="1" applyFill="1" applyBorder="1" applyAlignment="1">
      <alignment horizontal="center"/>
    </xf>
    <xf numFmtId="10" fontId="29" fillId="16" borderId="1" xfId="3" applyNumberFormat="1" applyFont="1" applyFill="1" applyBorder="1" applyAlignment="1">
      <alignment horizontal="center" vertical="center" wrapText="1"/>
    </xf>
    <xf numFmtId="2" fontId="29" fillId="16" borderId="1" xfId="3" applyNumberFormat="1" applyFont="1" applyFill="1" applyBorder="1" applyAlignment="1">
      <alignment horizontal="center" vertical="center" wrapText="1"/>
    </xf>
    <xf numFmtId="10" fontId="0" fillId="0" borderId="1" xfId="0" applyNumberFormat="1" applyBorder="1"/>
    <xf numFmtId="2" fontId="0" fillId="0" borderId="1" xfId="0" applyNumberFormat="1" applyBorder="1"/>
    <xf numFmtId="0" fontId="31" fillId="0" borderId="1" xfId="4" applyFont="1" applyBorder="1" applyAlignment="1">
      <alignment horizontal="left" vertical="center" wrapText="1"/>
    </xf>
    <xf numFmtId="0" fontId="31" fillId="0" borderId="0" xfId="4" applyFont="1" applyAlignment="1">
      <alignment horizontal="center" vertical="center" wrapText="1"/>
    </xf>
    <xf numFmtId="0" fontId="32" fillId="25" borderId="1" xfId="4" applyFont="1" applyFill="1" applyBorder="1" applyAlignment="1">
      <alignment horizontal="center" vertical="center" wrapText="1"/>
    </xf>
    <xf numFmtId="0" fontId="31" fillId="0" borderId="1" xfId="4" applyFont="1" applyBorder="1" applyAlignment="1">
      <alignment horizontal="center" vertical="center" wrapText="1"/>
    </xf>
    <xf numFmtId="0" fontId="31" fillId="0" borderId="11" xfId="4" applyFont="1" applyBorder="1" applyAlignment="1">
      <alignment horizontal="center" vertical="center" wrapText="1"/>
    </xf>
    <xf numFmtId="0" fontId="32" fillId="25" borderId="6" xfId="4" applyFont="1" applyFill="1" applyBorder="1" applyAlignment="1">
      <alignment horizontal="center" vertical="center" wrapText="1"/>
    </xf>
    <xf numFmtId="0" fontId="31" fillId="9" borderId="1" xfId="4" applyFont="1" applyFill="1" applyBorder="1" applyAlignment="1">
      <alignment horizontal="center" vertical="center" wrapText="1"/>
    </xf>
    <xf numFmtId="0" fontId="33" fillId="0" borderId="1" xfId="4" applyFont="1" applyBorder="1" applyAlignment="1">
      <alignment horizontal="center" vertical="center" wrapText="1"/>
    </xf>
    <xf numFmtId="0" fontId="33" fillId="2" borderId="1" xfId="4" applyFont="1" applyFill="1" applyBorder="1" applyAlignment="1">
      <alignment horizontal="center" vertical="center" wrapText="1"/>
    </xf>
    <xf numFmtId="2" fontId="31" fillId="0" borderId="1" xfId="4" applyNumberFormat="1" applyFont="1" applyBorder="1" applyAlignment="1">
      <alignment horizontal="center" vertical="center" wrapText="1"/>
    </xf>
    <xf numFmtId="0" fontId="35" fillId="26" borderId="13" xfId="0" applyFont="1" applyFill="1" applyBorder="1" applyAlignment="1">
      <alignment horizontal="center" vertical="center" wrapText="1"/>
    </xf>
    <xf numFmtId="0" fontId="35" fillId="2" borderId="14" xfId="0" applyFont="1" applyFill="1" applyBorder="1" applyAlignment="1">
      <alignment horizontal="center" vertical="center" wrapText="1"/>
    </xf>
    <xf numFmtId="0" fontId="36" fillId="0" borderId="15" xfId="0" applyFont="1" applyBorder="1" applyAlignment="1">
      <alignment vertical="center" wrapText="1"/>
    </xf>
    <xf numFmtId="0" fontId="37" fillId="26" borderId="16" xfId="0" applyFont="1" applyFill="1" applyBorder="1" applyAlignment="1">
      <alignment horizontal="center" vertical="center" wrapText="1"/>
    </xf>
    <xf numFmtId="0" fontId="35" fillId="2" borderId="17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0" fontId="35" fillId="27" borderId="17" xfId="0" applyFont="1" applyFill="1" applyBorder="1" applyAlignment="1">
      <alignment horizontal="center" vertical="center" wrapText="1"/>
    </xf>
    <xf numFmtId="0" fontId="36" fillId="0" borderId="17" xfId="0" applyFont="1" applyBorder="1" applyAlignment="1">
      <alignment vertical="center" wrapText="1"/>
    </xf>
    <xf numFmtId="0" fontId="37" fillId="26" borderId="18" xfId="0" applyFont="1" applyFill="1" applyBorder="1" applyAlignment="1">
      <alignment horizontal="center" vertical="center" wrapText="1"/>
    </xf>
    <xf numFmtId="0" fontId="36" fillId="0" borderId="19" xfId="0" applyFont="1" applyBorder="1" applyAlignment="1">
      <alignment vertical="center" wrapText="1"/>
    </xf>
    <xf numFmtId="0" fontId="36" fillId="0" borderId="20" xfId="0" applyFont="1" applyBorder="1" applyAlignment="1">
      <alignment vertical="center" wrapText="1"/>
    </xf>
    <xf numFmtId="14" fontId="37" fillId="0" borderId="17" xfId="0" applyNumberFormat="1" applyFont="1" applyBorder="1" applyAlignment="1">
      <alignment horizontal="center" vertical="center" wrapText="1"/>
    </xf>
    <xf numFmtId="0" fontId="37" fillId="0" borderId="17" xfId="0" applyFont="1" applyBorder="1" applyAlignment="1">
      <alignment horizontal="center" vertical="center" wrapText="1"/>
    </xf>
    <xf numFmtId="0" fontId="35" fillId="28" borderId="17" xfId="0" applyFont="1" applyFill="1" applyBorder="1" applyAlignment="1">
      <alignment horizontal="center" vertical="center" wrapText="1"/>
    </xf>
    <xf numFmtId="0" fontId="39" fillId="0" borderId="17" xfId="0" applyFont="1" applyBorder="1" applyAlignment="1">
      <alignment horizontal="center" vertical="center" wrapText="1"/>
    </xf>
    <xf numFmtId="0" fontId="37" fillId="0" borderId="16" xfId="0" applyFont="1" applyBorder="1" applyAlignment="1">
      <alignment horizontal="center" vertical="center" wrapText="1"/>
    </xf>
    <xf numFmtId="0" fontId="35" fillId="0" borderId="16" xfId="0" applyFont="1" applyBorder="1" applyAlignment="1">
      <alignment horizontal="center" vertical="center" wrapText="1"/>
    </xf>
    <xf numFmtId="0" fontId="35" fillId="26" borderId="16" xfId="0" applyFont="1" applyFill="1" applyBorder="1" applyAlignment="1">
      <alignment horizontal="center" vertical="center" wrapText="1"/>
    </xf>
    <xf numFmtId="0" fontId="35" fillId="26" borderId="17" xfId="0" applyFont="1" applyFill="1" applyBorder="1" applyAlignment="1">
      <alignment horizontal="center" vertical="center" wrapText="1"/>
    </xf>
    <xf numFmtId="0" fontId="39" fillId="28" borderId="17" xfId="0" applyFont="1" applyFill="1" applyBorder="1" applyAlignment="1">
      <alignment horizontal="center" vertical="center" wrapText="1"/>
    </xf>
    <xf numFmtId="0" fontId="39" fillId="29" borderId="17" xfId="0" applyFont="1" applyFill="1" applyBorder="1" applyAlignment="1">
      <alignment horizontal="center" vertical="center" wrapText="1"/>
    </xf>
    <xf numFmtId="14" fontId="37" fillId="30" borderId="17" xfId="0" applyNumberFormat="1" applyFont="1" applyFill="1" applyBorder="1" applyAlignment="1">
      <alignment horizontal="center" vertical="center" wrapText="1"/>
    </xf>
    <xf numFmtId="0" fontId="36" fillId="0" borderId="16" xfId="0" applyFont="1" applyBorder="1" applyAlignment="1">
      <alignment vertical="center" wrapText="1"/>
    </xf>
    <xf numFmtId="0" fontId="37" fillId="30" borderId="17" xfId="0" applyFont="1" applyFill="1" applyBorder="1" applyAlignment="1">
      <alignment horizontal="center" vertical="center" wrapText="1"/>
    </xf>
    <xf numFmtId="14" fontId="37" fillId="2" borderId="17" xfId="0" applyNumberFormat="1" applyFont="1" applyFill="1" applyBorder="1" applyAlignment="1">
      <alignment horizontal="center" vertical="center" wrapText="1"/>
    </xf>
    <xf numFmtId="0" fontId="37" fillId="2" borderId="17" xfId="0" applyFont="1" applyFill="1" applyBorder="1" applyAlignment="1">
      <alignment horizontal="center" vertical="center" wrapText="1"/>
    </xf>
    <xf numFmtId="0" fontId="42" fillId="28" borderId="13" xfId="0" applyFont="1" applyFill="1" applyBorder="1" applyAlignment="1">
      <alignment horizontal="center" vertical="center" wrapText="1"/>
    </xf>
    <xf numFmtId="0" fontId="42" fillId="28" borderId="14" xfId="0" applyFont="1" applyFill="1" applyBorder="1" applyAlignment="1">
      <alignment horizontal="center" vertical="center" wrapText="1"/>
    </xf>
    <xf numFmtId="0" fontId="36" fillId="0" borderId="19" xfId="0" applyFont="1" applyBorder="1" applyAlignment="1">
      <alignment wrapText="1"/>
    </xf>
    <xf numFmtId="0" fontId="36" fillId="0" borderId="15" xfId="0" applyFont="1" applyBorder="1" applyAlignment="1">
      <alignment wrapText="1"/>
    </xf>
    <xf numFmtId="0" fontId="36" fillId="0" borderId="20" xfId="0" applyFont="1" applyBorder="1" applyAlignment="1">
      <alignment wrapText="1"/>
    </xf>
    <xf numFmtId="0" fontId="37" fillId="27" borderId="17" xfId="0" applyFont="1" applyFill="1" applyBorder="1" applyAlignment="1">
      <alignment horizontal="center" vertical="center" wrapText="1"/>
    </xf>
    <xf numFmtId="0" fontId="36" fillId="0" borderId="17" xfId="0" applyFont="1" applyBorder="1" applyAlignment="1">
      <alignment wrapText="1"/>
    </xf>
    <xf numFmtId="0" fontId="17" fillId="0" borderId="30" xfId="2" applyFont="1" applyBorder="1" applyAlignment="1">
      <alignment horizontal="center" vertical="center" wrapText="1"/>
    </xf>
    <xf numFmtId="0" fontId="17" fillId="0" borderId="6" xfId="2" applyFont="1" applyBorder="1" applyAlignment="1">
      <alignment horizontal="center" vertical="center" wrapText="1"/>
    </xf>
    <xf numFmtId="166" fontId="17" fillId="0" borderId="6" xfId="2" applyNumberFormat="1" applyFont="1" applyBorder="1" applyAlignment="1">
      <alignment horizontal="center" vertical="center" wrapText="1"/>
    </xf>
    <xf numFmtId="0" fontId="20" fillId="0" borderId="4" xfId="2" applyFont="1" applyBorder="1" applyAlignment="1">
      <alignment horizontal="center" vertical="center" wrapText="1"/>
    </xf>
    <xf numFmtId="165" fontId="20" fillId="0" borderId="1" xfId="2" applyNumberFormat="1" applyFont="1" applyBorder="1" applyAlignment="1">
      <alignment horizontal="center" vertical="center" wrapText="1"/>
    </xf>
    <xf numFmtId="166" fontId="20" fillId="0" borderId="1" xfId="2" applyNumberFormat="1" applyFont="1" applyBorder="1" applyAlignment="1">
      <alignment horizontal="center" vertical="center" wrapText="1"/>
    </xf>
    <xf numFmtId="0" fontId="20" fillId="0" borderId="1" xfId="2" applyFont="1" applyBorder="1" applyAlignment="1">
      <alignment horizontal="center" vertical="center" wrapText="1"/>
    </xf>
    <xf numFmtId="0" fontId="20" fillId="0" borderId="5" xfId="2" applyFont="1" applyBorder="1" applyAlignment="1">
      <alignment horizontal="center" vertical="center" wrapText="1"/>
    </xf>
    <xf numFmtId="0" fontId="20" fillId="0" borderId="31" xfId="0" applyFont="1" applyBorder="1" applyAlignment="1">
      <alignment horizontal="center" vertical="center" wrapText="1"/>
    </xf>
    <xf numFmtId="0" fontId="20" fillId="0" borderId="32" xfId="0" applyFont="1" applyBorder="1" applyAlignment="1">
      <alignment horizontal="center" vertical="center" wrapText="1"/>
    </xf>
    <xf numFmtId="164" fontId="0" fillId="0" borderId="0" xfId="0" applyNumberFormat="1"/>
    <xf numFmtId="0" fontId="35" fillId="2" borderId="27" xfId="0" applyFont="1" applyFill="1" applyBorder="1" applyAlignment="1">
      <alignment horizontal="center" vertical="center" wrapText="1"/>
    </xf>
    <xf numFmtId="0" fontId="35" fillId="2" borderId="28" xfId="0" applyFont="1" applyFill="1" applyBorder="1" applyAlignment="1">
      <alignment horizontal="center" vertical="center" wrapText="1"/>
    </xf>
    <xf numFmtId="0" fontId="35" fillId="2" borderId="21" xfId="0" applyFont="1" applyFill="1" applyBorder="1" applyAlignment="1">
      <alignment horizontal="center" vertical="center" wrapText="1"/>
    </xf>
    <xf numFmtId="0" fontId="35" fillId="2" borderId="23" xfId="0" applyFont="1" applyFill="1" applyBorder="1" applyAlignment="1">
      <alignment horizontal="center" vertical="center" wrapText="1"/>
    </xf>
    <xf numFmtId="0" fontId="41" fillId="9" borderId="21" xfId="0" applyFont="1" applyFill="1" applyBorder="1" applyAlignment="1">
      <alignment horizontal="center" vertical="center" wrapText="1"/>
    </xf>
    <xf numFmtId="0" fontId="41" fillId="9" borderId="22" xfId="0" applyFont="1" applyFill="1" applyBorder="1" applyAlignment="1">
      <alignment horizontal="center" vertical="center" wrapText="1"/>
    </xf>
    <xf numFmtId="0" fontId="41" fillId="9" borderId="29" xfId="0" applyFont="1" applyFill="1" applyBorder="1" applyAlignment="1">
      <alignment horizontal="center" vertical="center" wrapText="1"/>
    </xf>
    <xf numFmtId="0" fontId="35" fillId="2" borderId="22" xfId="0" applyFont="1" applyFill="1" applyBorder="1" applyAlignment="1">
      <alignment horizontal="center" vertical="center" wrapText="1"/>
    </xf>
    <xf numFmtId="0" fontId="38" fillId="28" borderId="21" xfId="0" applyFont="1" applyFill="1" applyBorder="1" applyAlignment="1">
      <alignment horizontal="center" vertical="center" wrapText="1"/>
    </xf>
    <xf numFmtId="0" fontId="38" fillId="28" borderId="22" xfId="0" applyFont="1" applyFill="1" applyBorder="1" applyAlignment="1">
      <alignment horizontal="center" vertical="center" wrapText="1"/>
    </xf>
    <xf numFmtId="0" fontId="38" fillId="28" borderId="23" xfId="0" applyFont="1" applyFill="1" applyBorder="1" applyAlignment="1">
      <alignment horizontal="center" vertical="center" wrapText="1"/>
    </xf>
    <xf numFmtId="0" fontId="35" fillId="27" borderId="21" xfId="0" applyFont="1" applyFill="1" applyBorder="1" applyAlignment="1">
      <alignment horizontal="center" vertical="center" wrapText="1"/>
    </xf>
    <xf numFmtId="0" fontId="35" fillId="27" borderId="22" xfId="0" applyFont="1" applyFill="1" applyBorder="1" applyAlignment="1">
      <alignment horizontal="center" vertical="center" wrapText="1"/>
    </xf>
    <xf numFmtId="0" fontId="35" fillId="27" borderId="23" xfId="0" applyFont="1" applyFill="1" applyBorder="1" applyAlignment="1">
      <alignment horizontal="center" vertical="center" wrapText="1"/>
    </xf>
    <xf numFmtId="0" fontId="35" fillId="26" borderId="24" xfId="0" applyFont="1" applyFill="1" applyBorder="1" applyAlignment="1">
      <alignment horizontal="center" vertical="center" wrapText="1"/>
    </xf>
    <xf numFmtId="0" fontId="35" fillId="26" borderId="25" xfId="0" applyFont="1" applyFill="1" applyBorder="1" applyAlignment="1">
      <alignment horizontal="center" vertical="center" wrapText="1"/>
    </xf>
    <xf numFmtId="0" fontId="35" fillId="26" borderId="26" xfId="0" applyFont="1" applyFill="1" applyBorder="1" applyAlignment="1">
      <alignment horizontal="center" vertical="center" wrapText="1"/>
    </xf>
    <xf numFmtId="0" fontId="40" fillId="0" borderId="21" xfId="0" applyFont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 wrapText="1"/>
    </xf>
    <xf numFmtId="0" fontId="40" fillId="0" borderId="23" xfId="0" applyFont="1" applyBorder="1" applyAlignment="1">
      <alignment horizontal="center" vertical="center" wrapText="1"/>
    </xf>
    <xf numFmtId="0" fontId="11" fillId="3" borderId="0" xfId="0" applyFont="1" applyFill="1" applyAlignment="1">
      <alignment horizontal="center" vertical="top"/>
    </xf>
    <xf numFmtId="0" fontId="2" fillId="3" borderId="0" xfId="0" applyFont="1" applyFill="1" applyAlignment="1">
      <alignment horizontal="center" vertical="top"/>
    </xf>
    <xf numFmtId="0" fontId="0" fillId="2" borderId="0" xfId="0" applyFill="1" applyAlignment="1">
      <alignment horizontal="center"/>
    </xf>
    <xf numFmtId="0" fontId="9" fillId="2" borderId="0" xfId="0" applyFont="1" applyFill="1" applyAlignment="1">
      <alignment horizontal="center"/>
    </xf>
    <xf numFmtId="0" fontId="12" fillId="15" borderId="0" xfId="0" applyFont="1" applyFill="1" applyAlignment="1">
      <alignment horizontal="center" vertical="center"/>
    </xf>
    <xf numFmtId="0" fontId="13" fillId="17" borderId="0" xfId="0" applyFont="1" applyFill="1" applyAlignment="1">
      <alignment horizontal="center" wrapText="1"/>
    </xf>
    <xf numFmtId="0" fontId="0" fillId="17" borderId="0" xfId="0" applyFill="1" applyAlignment="1">
      <alignment horizontal="center" wrapText="1"/>
    </xf>
    <xf numFmtId="0" fontId="10" fillId="16" borderId="0" xfId="0" applyFont="1" applyFill="1" applyAlignment="1">
      <alignment horizontal="center"/>
    </xf>
    <xf numFmtId="0" fontId="0" fillId="16" borderId="0" xfId="0" applyFill="1" applyAlignment="1">
      <alignment horizontal="center"/>
    </xf>
    <xf numFmtId="0" fontId="1" fillId="18" borderId="0" xfId="0" applyFont="1" applyFill="1" applyAlignment="1">
      <alignment horizontal="center"/>
    </xf>
    <xf numFmtId="0" fontId="0" fillId="18" borderId="0" xfId="0" applyFill="1" applyAlignment="1">
      <alignment horizontal="center"/>
    </xf>
    <xf numFmtId="0" fontId="8" fillId="7" borderId="3" xfId="0" applyFont="1" applyFill="1" applyBorder="1" applyAlignment="1">
      <alignment horizontal="center" vertical="center" wrapText="1"/>
    </xf>
    <xf numFmtId="0" fontId="7" fillId="8" borderId="3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14" fillId="23" borderId="3" xfId="0" applyFont="1" applyFill="1" applyBorder="1" applyAlignment="1">
      <alignment horizontal="center" vertical="center" wrapText="1"/>
    </xf>
    <xf numFmtId="0" fontId="21" fillId="6" borderId="5" xfId="0" applyFont="1" applyFill="1" applyBorder="1" applyAlignment="1">
      <alignment horizontal="center" vertical="center"/>
    </xf>
    <xf numFmtId="0" fontId="21" fillId="6" borderId="6" xfId="0" applyFont="1" applyFill="1" applyBorder="1" applyAlignment="1">
      <alignment horizontal="center" vertical="center"/>
    </xf>
    <xf numFmtId="0" fontId="28" fillId="6" borderId="1" xfId="0" applyFont="1" applyFill="1" applyBorder="1" applyAlignment="1">
      <alignment horizontal="center" vertical="center"/>
    </xf>
    <xf numFmtId="0" fontId="45" fillId="2" borderId="0" xfId="0" applyFont="1" applyFill="1" applyAlignment="1">
      <alignment horizontal="center"/>
    </xf>
    <xf numFmtId="0" fontId="42" fillId="28" borderId="21" xfId="0" applyFont="1" applyFill="1" applyBorder="1" applyAlignment="1">
      <alignment horizontal="center" vertical="center" wrapText="1"/>
    </xf>
    <xf numFmtId="0" fontId="42" fillId="28" borderId="22" xfId="0" applyFont="1" applyFill="1" applyBorder="1" applyAlignment="1">
      <alignment horizontal="center" vertical="center" wrapText="1"/>
    </xf>
    <xf numFmtId="0" fontId="42" fillId="28" borderId="23" xfId="0" applyFont="1" applyFill="1" applyBorder="1" applyAlignment="1">
      <alignment horizontal="center" vertical="center" wrapText="1"/>
    </xf>
    <xf numFmtId="0" fontId="43" fillId="28" borderId="21" xfId="0" applyFont="1" applyFill="1" applyBorder="1" applyAlignment="1">
      <alignment horizontal="center" vertical="center" wrapText="1"/>
    </xf>
    <xf numFmtId="0" fontId="43" fillId="28" borderId="22" xfId="0" applyFont="1" applyFill="1" applyBorder="1" applyAlignment="1">
      <alignment horizontal="center" vertical="center" wrapText="1"/>
    </xf>
    <xf numFmtId="0" fontId="43" fillId="28" borderId="23" xfId="0" applyFont="1" applyFill="1" applyBorder="1" applyAlignment="1">
      <alignment horizontal="center" vertical="center" wrapText="1"/>
    </xf>
    <xf numFmtId="0" fontId="35" fillId="28" borderId="21" xfId="0" applyFont="1" applyFill="1" applyBorder="1" applyAlignment="1">
      <alignment horizontal="center" vertical="center" wrapText="1"/>
    </xf>
    <xf numFmtId="0" fontId="35" fillId="28" borderId="22" xfId="0" applyFont="1" applyFill="1" applyBorder="1" applyAlignment="1">
      <alignment horizontal="center" vertical="center" wrapText="1"/>
    </xf>
    <xf numFmtId="0" fontId="35" fillId="28" borderId="23" xfId="0" applyFont="1" applyFill="1" applyBorder="1" applyAlignment="1">
      <alignment horizontal="center" vertical="center" wrapText="1"/>
    </xf>
    <xf numFmtId="0" fontId="44" fillId="0" borderId="24" xfId="0" applyFont="1" applyBorder="1" applyAlignment="1">
      <alignment horizontal="center" vertical="center" wrapText="1"/>
    </xf>
    <xf numFmtId="0" fontId="44" fillId="0" borderId="26" xfId="0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14" fontId="36" fillId="0" borderId="17" xfId="0" applyNumberFormat="1" applyFont="1" applyBorder="1" applyAlignment="1">
      <alignment vertical="center" wrapText="1"/>
    </xf>
    <xf numFmtId="22" fontId="36" fillId="0" borderId="17" xfId="0" applyNumberFormat="1" applyFont="1" applyBorder="1" applyAlignment="1">
      <alignment vertical="center" wrapText="1"/>
    </xf>
    <xf numFmtId="14" fontId="36" fillId="0" borderId="17" xfId="0" applyNumberFormat="1" applyFont="1" applyBorder="1" applyAlignment="1">
      <alignment horizontal="center" vertical="center" wrapText="1"/>
    </xf>
    <xf numFmtId="0" fontId="47" fillId="14" borderId="15" xfId="0" applyFont="1" applyFill="1" applyBorder="1" applyAlignment="1">
      <alignment horizontal="center" vertical="center" wrapText="1"/>
    </xf>
    <xf numFmtId="20" fontId="36" fillId="0" borderId="17" xfId="0" applyNumberFormat="1" applyFont="1" applyBorder="1" applyAlignment="1">
      <alignment horizontal="center" vertical="center" wrapText="1"/>
    </xf>
    <xf numFmtId="0" fontId="46" fillId="2" borderId="17" xfId="0" applyFont="1" applyFill="1" applyBorder="1" applyAlignment="1">
      <alignment horizontal="center" vertical="center" wrapText="1"/>
    </xf>
    <xf numFmtId="14" fontId="36" fillId="0" borderId="19" xfId="0" applyNumberFormat="1" applyFont="1" applyBorder="1" applyAlignment="1">
      <alignment horizontal="center" vertical="center" wrapText="1"/>
    </xf>
    <xf numFmtId="0" fontId="48" fillId="0" borderId="19" xfId="0" applyFont="1" applyBorder="1" applyAlignment="1">
      <alignment horizontal="center" vertical="center" wrapText="1"/>
    </xf>
    <xf numFmtId="0" fontId="49" fillId="7" borderId="33" xfId="0" applyFont="1" applyFill="1" applyBorder="1" applyAlignment="1">
      <alignment horizontal="center" vertical="center" wrapText="1"/>
    </xf>
    <xf numFmtId="0" fontId="49" fillId="7" borderId="34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0" fillId="2" borderId="0" xfId="0" applyFill="1" applyAlignment="1">
      <alignment horizontal="left" vertical="top" wrapText="1"/>
    </xf>
  </cellXfs>
  <cellStyles count="5">
    <cellStyle name="Normal" xfId="0" builtinId="0"/>
    <cellStyle name="Normal 2" xfId="2" xr:uid="{5DD338C1-82ED-4982-9BB5-3EF66968FF01}"/>
    <cellStyle name="Normal 2 2" xfId="4" xr:uid="{511AF93F-5767-4AA6-B1ED-4F988213519B}"/>
    <cellStyle name="Normal 3" xfId="3" xr:uid="{2325A7D6-EA30-4F87-9F44-BE1E3356D852}"/>
    <cellStyle name="Percent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Bookman Old Style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Bookman Old Style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numFmt numFmtId="164" formatCode="&quot;₹&quot;\ #,##0.0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Bookman Old Style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Bookman Old Style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/>
        <vertAlign val="baseline"/>
        <sz val="14"/>
        <color theme="1"/>
        <name val="Bookman Old Style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BADB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NULL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ustomXml" Target="../ink/ink3.xml"/><Relationship Id="rId2" Type="http://schemas.openxmlformats.org/officeDocument/2006/relationships/image" Target="NULL"/><Relationship Id="rId1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5800</xdr:colOff>
      <xdr:row>2</xdr:row>
      <xdr:rowOff>96190</xdr:rowOff>
    </xdr:from>
    <xdr:to>
      <xdr:col>2</xdr:col>
      <xdr:colOff>6160</xdr:colOff>
      <xdr:row>2</xdr:row>
      <xdr:rowOff>96550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6BA638DA-C58D-4CCD-BBEE-20F0E44E67B3}"/>
                </a:ext>
              </a:extLst>
            </xdr14:cNvPr>
            <xdr14:cNvContentPartPr/>
          </xdr14:nvContentPartPr>
          <xdr14:nvPr macro=""/>
          <xdr14:xfrm>
            <a:off x="1326600" y="293040"/>
            <a:ext cx="360" cy="360"/>
          </xdr14:xfrm>
        </xdr:contentPart>
      </mc:Choice>
      <mc:Fallback xmlns=""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01B45ACC-065C-BBB4-47F8-8C0FEC82A2A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17600" y="28404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5800</xdr:colOff>
      <xdr:row>1</xdr:row>
      <xdr:rowOff>96190</xdr:rowOff>
    </xdr:from>
    <xdr:to>
      <xdr:col>2</xdr:col>
      <xdr:colOff>6160</xdr:colOff>
      <xdr:row>1</xdr:row>
      <xdr:rowOff>96550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312737D9-BC08-40EF-8246-DFBA0ACCBB45}"/>
                </a:ext>
              </a:extLst>
            </xdr14:cNvPr>
            <xdr14:cNvContentPartPr/>
          </xdr14:nvContentPartPr>
          <xdr14:nvPr macro=""/>
          <xdr14:xfrm>
            <a:off x="1326600" y="293040"/>
            <a:ext cx="360" cy="360"/>
          </xdr14:xfrm>
        </xdr:contentPart>
      </mc:Choice>
      <mc:Fallback xmlns=""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01B45ACC-065C-BBB4-47F8-8C0FEC82A2A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17600" y="28404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7</xdr:col>
      <xdr:colOff>5800</xdr:colOff>
      <xdr:row>1</xdr:row>
      <xdr:rowOff>96190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2B1062B0-FDA7-4023-B7A0-D12D02C8F9A3}"/>
                </a:ext>
              </a:extLst>
            </xdr14:cNvPr>
            <xdr14:cNvContentPartPr/>
          </xdr14:nvContentPartPr>
          <xdr14:nvPr macro=""/>
          <xdr14:xfrm>
            <a:off x="1326600" y="293040"/>
            <a:ext cx="360" cy="360"/>
          </xdr14:xfrm>
        </xdr:contentPart>
      </mc:Choice>
      <mc:Fallback xmlns=""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01B45ACC-065C-BBB4-47F8-8C0FEC82A2A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17600" y="284040"/>
              <a:ext cx="18000" cy="18000"/>
            </a:xfrm>
            <a:prstGeom prst="rect">
              <a:avLst/>
            </a:prstGeom>
          </xdr:spPr>
        </xdr:pic>
      </mc:Fallback>
    </mc:AlternateContent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21T13:19:37.080"/>
    </inkml:context>
    <inkml:brush xml:id="br0">
      <inkml:brushProperty name="width" value="0.05" units="cm"/>
      <inkml:brushProperty name="height" value="0.05" units="cm"/>
      <inkml:brushProperty name="color" value="#5B2D90"/>
    </inkml:brush>
  </inkml:definitions>
  <inkml:trace contextRef="#ctx0" brushRef="#br0">0 0 23387,'0'0'3121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24T16:32:25.635"/>
    </inkml:context>
    <inkml:brush xml:id="br0">
      <inkml:brushProperty name="width" value="0.05" units="cm"/>
      <inkml:brushProperty name="height" value="0.05" units="cm"/>
      <inkml:brushProperty name="color" value="#5B2D90"/>
    </inkml:brush>
  </inkml:definitions>
  <inkml:trace contextRef="#ctx0" brushRef="#br0">0 0 23387,'0'0'3121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24T16:35:29.763"/>
    </inkml:context>
    <inkml:brush xml:id="br0">
      <inkml:brushProperty name="width" value="0.05" units="cm"/>
      <inkml:brushProperty name="height" value="0.05" units="cm"/>
      <inkml:brushProperty name="color" value="#5B2D90"/>
    </inkml:brush>
  </inkml:definitions>
  <inkml:trace contextRef="#ctx0" brushRef="#br0">0 0 23387,'0'0'3121</inkml:trace>
</inkml:ink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59108E-2AB4-4B88-A8A4-CCC76144E016}" name="Table2" displayName="Table2" ref="H9:I19" totalsRowShown="0">
  <autoFilter ref="H9:I19" xr:uid="{2259108E-2AB4-4B88-A8A4-CCC76144E016}"/>
  <tableColumns count="2">
    <tableColumn id="1" xr3:uid="{2464D0A9-6518-4603-B360-B8F9C929E469}" name="Component" dataDxfId="13"/>
    <tableColumn id="2" xr3:uid="{D8AB9EE0-C195-426B-A0F6-FACE631E5D6C}" name="Description" dataDxfId="12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3F9B9C3-28DA-4E2C-B136-0D1A0C085413}" name="Table1" displayName="Table1" ref="G2:J18" totalsRowCount="1" headerRowDxfId="11" dataDxfId="9" headerRowBorderDxfId="10" tableBorderDxfId="8" headerRowCellStyle="Normal 2">
  <autoFilter ref="G2:J17" xr:uid="{03F9B9C3-28DA-4E2C-B136-0D1A0C085413}"/>
  <sortState xmlns:xlrd2="http://schemas.microsoft.com/office/spreadsheetml/2017/richdata2" ref="G9:J16">
    <sortCondition ref="H2:H17"/>
  </sortState>
  <tableColumns count="4">
    <tableColumn id="1" xr3:uid="{E2E80BDE-6659-40A7-831C-18BEB4289EFE}" name="Items" totalsRowLabel="Average" dataDxfId="7" totalsRowDxfId="6" dataCellStyle="Normal 2"/>
    <tableColumn id="2" xr3:uid="{8D63A0B8-A74A-4BC1-8ECE-9A7FCCA8433A}" name="Prices" totalsRowFunction="average" dataDxfId="5" totalsRowDxfId="4"/>
    <tableColumn id="3" xr3:uid="{497FF2B8-473F-4964-887A-86E30924FC41}" name="Dates" dataDxfId="3" totalsRowDxfId="2"/>
    <tableColumn id="4" xr3:uid="{477D747F-F012-437E-A2E8-D851D8F6632E}" name="Regions" totalsRowFunction="count" dataDxfId="1" totalsRowDxfId="0" dataCellStyle="Normal 2"/>
  </tableColumns>
  <tableStyleInfo name="TableStyleDark9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0D101-F3F4-44C7-92C7-5B064D8BC768}">
  <dimension ref="A1:N22"/>
  <sheetViews>
    <sheetView topLeftCell="C1" workbookViewId="0">
      <selection activeCell="G26" sqref="G26"/>
    </sheetView>
  </sheetViews>
  <sheetFormatPr defaultRowHeight="14.4" x14ac:dyDescent="0.3"/>
  <cols>
    <col min="6" max="6" width="11.109375" customWidth="1"/>
    <col min="8" max="8" width="18.44140625" customWidth="1"/>
    <col min="9" max="9" width="29.77734375" customWidth="1"/>
    <col min="10" max="10" width="12.6640625" customWidth="1"/>
    <col min="11" max="11" width="9.21875" customWidth="1"/>
    <col min="12" max="12" width="16.21875" customWidth="1"/>
  </cols>
  <sheetData>
    <row r="1" spans="1:14" ht="14.4" customHeight="1" x14ac:dyDescent="0.3">
      <c r="A1" s="177" t="s">
        <v>94</v>
      </c>
      <c r="B1" s="178"/>
      <c r="C1" s="178"/>
      <c r="D1" s="178"/>
      <c r="E1" s="178"/>
      <c r="F1" s="178"/>
    </row>
    <row r="2" spans="1:14" ht="14.4" customHeight="1" x14ac:dyDescent="0.3">
      <c r="A2" s="178"/>
      <c r="B2" s="178"/>
      <c r="C2" s="178"/>
      <c r="D2" s="178"/>
      <c r="E2" s="178"/>
      <c r="F2" s="178"/>
    </row>
    <row r="3" spans="1:14" ht="14.4" customHeight="1" x14ac:dyDescent="0.3">
      <c r="A3" s="178"/>
      <c r="B3" s="178"/>
      <c r="C3" s="178"/>
      <c r="D3" s="178"/>
      <c r="E3" s="178"/>
      <c r="F3" s="178"/>
      <c r="G3" s="179" t="s">
        <v>0</v>
      </c>
      <c r="H3" s="179"/>
      <c r="I3" s="179"/>
      <c r="J3" s="179"/>
      <c r="K3" s="179"/>
    </row>
    <row r="4" spans="1:14" ht="14.4" customHeight="1" x14ac:dyDescent="0.3">
      <c r="G4" s="179" t="s">
        <v>25</v>
      </c>
      <c r="H4" s="179"/>
      <c r="I4" s="179"/>
      <c r="J4" s="179"/>
      <c r="K4" s="179"/>
    </row>
    <row r="5" spans="1:14" ht="14.4" customHeight="1" x14ac:dyDescent="0.3">
      <c r="G5" s="179" t="s">
        <v>26</v>
      </c>
      <c r="H5" s="179"/>
      <c r="I5" s="179"/>
      <c r="J5" s="179"/>
      <c r="K5" s="179"/>
    </row>
    <row r="6" spans="1:14" ht="14.4" customHeight="1" x14ac:dyDescent="0.3">
      <c r="G6" s="179" t="s">
        <v>27</v>
      </c>
      <c r="H6" s="179"/>
      <c r="I6" s="179"/>
      <c r="J6" s="179"/>
      <c r="K6" s="179"/>
    </row>
    <row r="7" spans="1:14" x14ac:dyDescent="0.3">
      <c r="C7" s="8"/>
      <c r="E7" s="1" t="s">
        <v>5</v>
      </c>
      <c r="G7" s="179" t="s">
        <v>28</v>
      </c>
      <c r="H7" s="179"/>
      <c r="I7" s="179"/>
      <c r="J7" s="179"/>
      <c r="K7" s="179"/>
    </row>
    <row r="8" spans="1:14" x14ac:dyDescent="0.3">
      <c r="A8" s="1" t="s">
        <v>1</v>
      </c>
      <c r="D8" s="2">
        <v>1</v>
      </c>
      <c r="E8" s="3" t="s">
        <v>6</v>
      </c>
      <c r="F8" s="4" t="s">
        <v>18</v>
      </c>
    </row>
    <row r="9" spans="1:14" x14ac:dyDescent="0.3">
      <c r="A9" t="s">
        <v>2</v>
      </c>
      <c r="D9" s="2">
        <v>2</v>
      </c>
      <c r="E9" s="3" t="s">
        <v>7</v>
      </c>
      <c r="F9" s="4" t="s">
        <v>19</v>
      </c>
      <c r="H9" s="8" t="s">
        <v>29</v>
      </c>
      <c r="I9" s="5" t="s">
        <v>30</v>
      </c>
    </row>
    <row r="10" spans="1:14" x14ac:dyDescent="0.3">
      <c r="A10" t="s">
        <v>3</v>
      </c>
      <c r="D10" s="2">
        <v>3</v>
      </c>
      <c r="E10" s="3" t="s">
        <v>8</v>
      </c>
      <c r="F10" s="4" t="s">
        <v>20</v>
      </c>
      <c r="H10" t="s">
        <v>31</v>
      </c>
      <c r="I10" t="s">
        <v>41</v>
      </c>
    </row>
    <row r="11" spans="1:14" x14ac:dyDescent="0.3">
      <c r="A11" t="s">
        <v>4</v>
      </c>
      <c r="D11" s="2">
        <v>4</v>
      </c>
      <c r="E11" s="3" t="s">
        <v>9</v>
      </c>
      <c r="F11" s="4" t="s">
        <v>21</v>
      </c>
      <c r="H11" t="s">
        <v>32</v>
      </c>
      <c r="I11" t="s">
        <v>42</v>
      </c>
      <c r="J11" s="7"/>
    </row>
    <row r="12" spans="1:14" x14ac:dyDescent="0.3">
      <c r="D12" s="2">
        <v>5</v>
      </c>
      <c r="E12" s="3" t="s">
        <v>10</v>
      </c>
      <c r="F12" s="4" t="s">
        <v>22</v>
      </c>
      <c r="G12" s="6"/>
      <c r="H12" t="s">
        <v>33</v>
      </c>
      <c r="I12" s="11" t="s">
        <v>43</v>
      </c>
      <c r="J12" s="6"/>
      <c r="K12" s="6"/>
      <c r="L12" s="6"/>
      <c r="N12" s="6"/>
    </row>
    <row r="13" spans="1:14" x14ac:dyDescent="0.3">
      <c r="D13" s="2">
        <v>6</v>
      </c>
      <c r="E13" s="3" t="s">
        <v>11</v>
      </c>
      <c r="F13" s="4" t="s">
        <v>23</v>
      </c>
      <c r="G13" s="5"/>
      <c r="H13" s="9" t="s">
        <v>34</v>
      </c>
      <c r="I13" s="11" t="s">
        <v>44</v>
      </c>
      <c r="J13" s="5"/>
      <c r="K13" s="5"/>
      <c r="L13" s="5"/>
    </row>
    <row r="14" spans="1:14" x14ac:dyDescent="0.3">
      <c r="D14" s="2">
        <v>7</v>
      </c>
      <c r="E14" s="3" t="s">
        <v>12</v>
      </c>
      <c r="F14" s="4" t="s">
        <v>24</v>
      </c>
      <c r="G14" s="5"/>
      <c r="H14" s="10" t="s">
        <v>35</v>
      </c>
      <c r="I14" s="13" t="s">
        <v>45</v>
      </c>
      <c r="J14" s="5"/>
      <c r="K14" s="5"/>
      <c r="L14" s="5"/>
    </row>
    <row r="15" spans="1:14" x14ac:dyDescent="0.3">
      <c r="D15" s="2">
        <v>8</v>
      </c>
      <c r="E15" s="3" t="s">
        <v>13</v>
      </c>
      <c r="G15" s="5"/>
      <c r="H15" s="10" t="s">
        <v>36</v>
      </c>
      <c r="I15" s="12" t="s">
        <v>46</v>
      </c>
      <c r="J15" s="5"/>
      <c r="K15" s="5"/>
      <c r="L15" s="5"/>
    </row>
    <row r="16" spans="1:14" x14ac:dyDescent="0.3">
      <c r="D16" s="2">
        <v>9</v>
      </c>
      <c r="E16" s="3" t="s">
        <v>14</v>
      </c>
      <c r="G16" s="5"/>
      <c r="H16" s="11" t="s">
        <v>37</v>
      </c>
      <c r="I16" s="11" t="s">
        <v>97</v>
      </c>
      <c r="J16" s="5"/>
      <c r="K16" s="5"/>
      <c r="L16" s="5"/>
    </row>
    <row r="17" spans="4:12" x14ac:dyDescent="0.3">
      <c r="D17" s="2">
        <v>10</v>
      </c>
      <c r="E17" s="3" t="s">
        <v>15</v>
      </c>
      <c r="G17" s="5"/>
      <c r="H17" s="11" t="s">
        <v>38</v>
      </c>
      <c r="I17" s="11" t="s">
        <v>95</v>
      </c>
      <c r="J17" s="5"/>
      <c r="K17" s="5"/>
      <c r="L17" s="5"/>
    </row>
    <row r="18" spans="4:12" x14ac:dyDescent="0.3">
      <c r="D18" s="2">
        <v>11</v>
      </c>
      <c r="E18" s="3" t="s">
        <v>16</v>
      </c>
      <c r="G18" s="5"/>
      <c r="H18" s="11" t="s">
        <v>39</v>
      </c>
      <c r="I18" s="11" t="s">
        <v>96</v>
      </c>
      <c r="J18" s="5"/>
      <c r="K18" s="5"/>
      <c r="L18" s="5"/>
    </row>
    <row r="19" spans="4:12" x14ac:dyDescent="0.3">
      <c r="D19" s="2">
        <v>12</v>
      </c>
      <c r="E19" s="3" t="s">
        <v>17</v>
      </c>
      <c r="G19" s="5"/>
      <c r="H19" s="11" t="s">
        <v>40</v>
      </c>
      <c r="I19" s="11" t="s">
        <v>47</v>
      </c>
      <c r="J19" s="5"/>
      <c r="K19" s="5"/>
      <c r="L19" s="5"/>
    </row>
    <row r="20" spans="4:12" x14ac:dyDescent="0.3">
      <c r="G20" s="5"/>
      <c r="J20" s="5"/>
      <c r="K20" s="5"/>
      <c r="L20" s="5"/>
    </row>
    <row r="21" spans="4:12" x14ac:dyDescent="0.3">
      <c r="G21" s="5"/>
      <c r="J21" s="5"/>
      <c r="K21" s="5"/>
      <c r="L21" s="5"/>
    </row>
    <row r="22" spans="4:12" x14ac:dyDescent="0.3">
      <c r="G22" s="5"/>
      <c r="J22" s="5"/>
      <c r="K22" s="5"/>
      <c r="L22" s="5"/>
    </row>
  </sheetData>
  <mergeCells count="6">
    <mergeCell ref="A1:F3"/>
    <mergeCell ref="G7:K7"/>
    <mergeCell ref="G3:K3"/>
    <mergeCell ref="G4:K4"/>
    <mergeCell ref="G5:K5"/>
    <mergeCell ref="G6:K6"/>
  </mergeCells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F2667-FA00-42BA-A9F8-94619B32ED44}">
  <dimension ref="A1:R23"/>
  <sheetViews>
    <sheetView topLeftCell="G1" workbookViewId="0">
      <selection activeCell="H2" sqref="H2"/>
    </sheetView>
  </sheetViews>
  <sheetFormatPr defaultRowHeight="14.4" x14ac:dyDescent="0.3"/>
  <cols>
    <col min="3" max="3" width="7.44140625" bestFit="1" customWidth="1"/>
    <col min="4" max="4" width="12.5546875" bestFit="1" customWidth="1"/>
    <col min="5" max="5" width="8.33203125" bestFit="1" customWidth="1"/>
    <col min="8" max="8" width="9.21875" customWidth="1"/>
    <col min="9" max="9" width="11.44140625" customWidth="1"/>
    <col min="10" max="10" width="7.33203125" customWidth="1"/>
    <col min="11" max="11" width="9.33203125" customWidth="1"/>
    <col min="12" max="12" width="12.5546875" bestFit="1" customWidth="1"/>
  </cols>
  <sheetData>
    <row r="1" spans="1:18" x14ac:dyDescent="0.3">
      <c r="A1" s="180" t="s">
        <v>99</v>
      </c>
      <c r="B1" s="179"/>
      <c r="C1" s="179"/>
    </row>
    <row r="2" spans="1:18" x14ac:dyDescent="0.3">
      <c r="A2" s="179"/>
      <c r="B2" s="179"/>
      <c r="C2" s="179"/>
    </row>
    <row r="3" spans="1:18" ht="14.4" customHeight="1" x14ac:dyDescent="0.5">
      <c r="D3" s="29"/>
      <c r="E3" s="5"/>
      <c r="F3" s="5"/>
      <c r="O3" s="5"/>
      <c r="P3" s="5"/>
      <c r="Q3" s="5"/>
      <c r="R3" s="5"/>
    </row>
    <row r="4" spans="1:18" ht="14.4" customHeight="1" x14ac:dyDescent="0.35">
      <c r="D4" s="5"/>
      <c r="E4" s="5"/>
      <c r="F4" s="5"/>
      <c r="I4" s="30"/>
      <c r="J4" s="30"/>
      <c r="K4" s="30"/>
      <c r="O4" s="5"/>
      <c r="P4" s="5"/>
      <c r="Q4" s="5"/>
      <c r="R4" s="5"/>
    </row>
    <row r="5" spans="1:18" ht="21" x14ac:dyDescent="0.35">
      <c r="C5" s="181" t="s">
        <v>98</v>
      </c>
      <c r="D5" s="181"/>
      <c r="E5" s="181"/>
      <c r="I5" s="30"/>
      <c r="J5" s="30"/>
      <c r="K5" s="30"/>
      <c r="O5" s="5"/>
      <c r="P5" s="5"/>
      <c r="Q5" s="5"/>
      <c r="R5" s="5"/>
    </row>
    <row r="6" spans="1:18" ht="18" x14ac:dyDescent="0.35">
      <c r="C6" s="16" t="s">
        <v>36</v>
      </c>
      <c r="D6" s="16" t="s">
        <v>48</v>
      </c>
      <c r="E6" s="16" t="s">
        <v>49</v>
      </c>
      <c r="H6" s="184" t="s">
        <v>75</v>
      </c>
      <c r="I6" s="185"/>
      <c r="J6" s="185"/>
      <c r="K6" s="185"/>
      <c r="L6" s="185"/>
      <c r="O6" s="5"/>
      <c r="P6" s="5"/>
      <c r="Q6" s="5"/>
      <c r="R6" s="5"/>
    </row>
    <row r="7" spans="1:18" x14ac:dyDescent="0.3">
      <c r="C7" s="14" t="s">
        <v>55</v>
      </c>
      <c r="D7" s="1" t="s">
        <v>56</v>
      </c>
      <c r="E7" s="15" t="s">
        <v>61</v>
      </c>
    </row>
    <row r="8" spans="1:18" x14ac:dyDescent="0.3">
      <c r="C8" s="14" t="s">
        <v>50</v>
      </c>
      <c r="D8" s="1" t="s">
        <v>57</v>
      </c>
      <c r="E8" s="15" t="s">
        <v>62</v>
      </c>
      <c r="H8" s="21" t="s">
        <v>76</v>
      </c>
      <c r="I8" s="21" t="s">
        <v>36</v>
      </c>
      <c r="J8" s="21" t="s">
        <v>77</v>
      </c>
      <c r="K8" s="21" t="s">
        <v>78</v>
      </c>
      <c r="L8" s="21" t="s">
        <v>48</v>
      </c>
    </row>
    <row r="9" spans="1:18" x14ac:dyDescent="0.3">
      <c r="C9" s="14" t="s">
        <v>51</v>
      </c>
      <c r="D9" s="1" t="s">
        <v>58</v>
      </c>
      <c r="E9" s="15" t="s">
        <v>63</v>
      </c>
      <c r="H9" s="22">
        <v>101</v>
      </c>
      <c r="I9" s="24" t="s">
        <v>51</v>
      </c>
      <c r="J9" s="26">
        <v>21</v>
      </c>
      <c r="K9" s="27">
        <v>20000</v>
      </c>
      <c r="L9" s="28" t="s">
        <v>60</v>
      </c>
    </row>
    <row r="10" spans="1:18" x14ac:dyDescent="0.3">
      <c r="C10" s="14" t="s">
        <v>52</v>
      </c>
      <c r="D10" s="1" t="s">
        <v>59</v>
      </c>
      <c r="E10" s="15" t="s">
        <v>64</v>
      </c>
      <c r="H10" s="22">
        <v>102</v>
      </c>
      <c r="I10" s="24" t="s">
        <v>79</v>
      </c>
      <c r="J10" s="26">
        <v>22</v>
      </c>
      <c r="K10" s="27">
        <v>25000</v>
      </c>
      <c r="L10" s="28" t="s">
        <v>57</v>
      </c>
    </row>
    <row r="11" spans="1:18" x14ac:dyDescent="0.3">
      <c r="C11" s="14" t="s">
        <v>53</v>
      </c>
      <c r="D11" s="1" t="s">
        <v>60</v>
      </c>
      <c r="E11" s="15" t="s">
        <v>65</v>
      </c>
      <c r="H11" s="22">
        <v>103</v>
      </c>
      <c r="I11" s="24" t="s">
        <v>80</v>
      </c>
      <c r="J11" s="26">
        <v>21</v>
      </c>
      <c r="K11" s="27">
        <v>40000</v>
      </c>
      <c r="L11" s="28" t="s">
        <v>56</v>
      </c>
    </row>
    <row r="12" spans="1:18" x14ac:dyDescent="0.3">
      <c r="C12" s="14" t="s">
        <v>54</v>
      </c>
      <c r="D12" s="1" t="s">
        <v>57</v>
      </c>
      <c r="E12" s="15" t="s">
        <v>66</v>
      </c>
      <c r="H12" s="22">
        <v>104</v>
      </c>
      <c r="I12" s="24" t="s">
        <v>81</v>
      </c>
      <c r="J12" s="26">
        <v>24</v>
      </c>
      <c r="K12" s="27">
        <v>45000</v>
      </c>
      <c r="L12" s="28" t="s">
        <v>92</v>
      </c>
    </row>
    <row r="13" spans="1:18" x14ac:dyDescent="0.3">
      <c r="H13" s="22">
        <v>105</v>
      </c>
      <c r="I13" s="24" t="s">
        <v>82</v>
      </c>
      <c r="J13" s="26">
        <v>28</v>
      </c>
      <c r="K13" s="27">
        <v>30000</v>
      </c>
      <c r="L13" s="28" t="s">
        <v>60</v>
      </c>
    </row>
    <row r="14" spans="1:18" x14ac:dyDescent="0.3">
      <c r="H14" s="22">
        <v>106</v>
      </c>
      <c r="I14" s="24" t="s">
        <v>83</v>
      </c>
      <c r="J14" s="26">
        <v>30</v>
      </c>
      <c r="K14" s="27">
        <v>95000</v>
      </c>
      <c r="L14" s="28" t="s">
        <v>58</v>
      </c>
    </row>
    <row r="15" spans="1:18" x14ac:dyDescent="0.3">
      <c r="H15" s="22">
        <v>107</v>
      </c>
      <c r="I15" s="24" t="s">
        <v>84</v>
      </c>
      <c r="J15" s="26">
        <v>27</v>
      </c>
      <c r="K15" s="27">
        <v>60000</v>
      </c>
      <c r="L15" s="28" t="s">
        <v>56</v>
      </c>
    </row>
    <row r="16" spans="1:18" x14ac:dyDescent="0.3">
      <c r="D16" s="7"/>
      <c r="E16" s="7"/>
      <c r="F16" s="7"/>
      <c r="H16" s="22">
        <v>108</v>
      </c>
      <c r="I16" s="24" t="s">
        <v>85</v>
      </c>
      <c r="J16" s="26">
        <v>29</v>
      </c>
      <c r="K16" s="27">
        <v>55000</v>
      </c>
      <c r="L16" s="28" t="s">
        <v>92</v>
      </c>
    </row>
    <row r="17" spans="3:12" ht="15" x14ac:dyDescent="0.35">
      <c r="C17" s="182" t="s">
        <v>100</v>
      </c>
      <c r="D17" s="183"/>
      <c r="E17" s="183"/>
      <c r="F17" s="183"/>
      <c r="H17" s="22">
        <v>109</v>
      </c>
      <c r="I17" s="24" t="s">
        <v>93</v>
      </c>
      <c r="J17" s="26">
        <v>20</v>
      </c>
      <c r="K17" s="27">
        <v>34000</v>
      </c>
      <c r="L17" s="28" t="s">
        <v>57</v>
      </c>
    </row>
    <row r="18" spans="3:12" x14ac:dyDescent="0.3">
      <c r="C18" s="17" t="s">
        <v>67</v>
      </c>
      <c r="D18" s="17" t="s">
        <v>68</v>
      </c>
      <c r="E18" s="17" t="s">
        <v>69</v>
      </c>
      <c r="F18" s="17" t="s">
        <v>70</v>
      </c>
      <c r="H18" s="23">
        <v>110</v>
      </c>
      <c r="I18" s="25" t="s">
        <v>86</v>
      </c>
      <c r="J18" s="26">
        <v>27</v>
      </c>
      <c r="K18" s="27">
        <v>23000</v>
      </c>
      <c r="L18" s="28" t="s">
        <v>60</v>
      </c>
    </row>
    <row r="19" spans="3:12" x14ac:dyDescent="0.3">
      <c r="C19" s="18" t="s">
        <v>71</v>
      </c>
      <c r="D19" s="1">
        <v>65000</v>
      </c>
      <c r="E19" s="19">
        <v>0.1</v>
      </c>
      <c r="F19" s="20">
        <v>58500</v>
      </c>
      <c r="H19" s="22">
        <v>111</v>
      </c>
      <c r="I19" s="24" t="s">
        <v>87</v>
      </c>
      <c r="J19" s="26">
        <v>26</v>
      </c>
      <c r="K19" s="27">
        <v>23000</v>
      </c>
      <c r="L19" s="28" t="s">
        <v>58</v>
      </c>
    </row>
    <row r="20" spans="3:12" x14ac:dyDescent="0.3">
      <c r="C20" s="18" t="s">
        <v>72</v>
      </c>
      <c r="D20" s="1">
        <v>25000</v>
      </c>
      <c r="E20" s="19">
        <v>0.05</v>
      </c>
      <c r="F20" s="20">
        <v>23750</v>
      </c>
      <c r="H20" s="22">
        <v>112</v>
      </c>
      <c r="I20" s="24" t="s">
        <v>88</v>
      </c>
      <c r="J20" s="26">
        <v>29</v>
      </c>
      <c r="K20" s="27">
        <v>34530</v>
      </c>
      <c r="L20" s="28" t="s">
        <v>56</v>
      </c>
    </row>
    <row r="21" spans="3:12" x14ac:dyDescent="0.3">
      <c r="C21" s="18" t="s">
        <v>73</v>
      </c>
      <c r="D21" s="1">
        <v>800</v>
      </c>
      <c r="E21" s="19">
        <v>0.08</v>
      </c>
      <c r="F21" s="20">
        <v>736</v>
      </c>
      <c r="H21" s="22">
        <v>113</v>
      </c>
      <c r="I21" s="24" t="s">
        <v>89</v>
      </c>
      <c r="J21" s="26">
        <v>25</v>
      </c>
      <c r="K21" s="27">
        <v>80000</v>
      </c>
      <c r="L21" s="28" t="s">
        <v>57</v>
      </c>
    </row>
    <row r="22" spans="3:12" x14ac:dyDescent="0.3">
      <c r="C22" s="18" t="s">
        <v>74</v>
      </c>
      <c r="D22" s="1">
        <v>1500</v>
      </c>
      <c r="E22" s="19">
        <v>0.12</v>
      </c>
      <c r="F22" s="20">
        <v>1320</v>
      </c>
      <c r="H22" s="22">
        <v>114</v>
      </c>
      <c r="I22" s="24" t="s">
        <v>90</v>
      </c>
      <c r="J22" s="26">
        <v>23</v>
      </c>
      <c r="K22" s="27">
        <v>76000</v>
      </c>
      <c r="L22" s="28" t="s">
        <v>57</v>
      </c>
    </row>
    <row r="23" spans="3:12" x14ac:dyDescent="0.3">
      <c r="H23" s="22">
        <v>115</v>
      </c>
      <c r="I23" s="24" t="s">
        <v>91</v>
      </c>
      <c r="J23" s="26">
        <v>22</v>
      </c>
      <c r="K23" s="27">
        <v>65000</v>
      </c>
      <c r="L23" s="28" t="s">
        <v>57</v>
      </c>
    </row>
  </sheetData>
  <mergeCells count="4">
    <mergeCell ref="A1:C2"/>
    <mergeCell ref="C5:E5"/>
    <mergeCell ref="C17:F17"/>
    <mergeCell ref="H6:L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472E3-E66D-43B0-85D6-FCDF14D5A812}">
  <dimension ref="A1:L27"/>
  <sheetViews>
    <sheetView topLeftCell="D1" workbookViewId="0">
      <selection activeCell="F3" sqref="F3:F20"/>
    </sheetView>
  </sheetViews>
  <sheetFormatPr defaultRowHeight="14.4" x14ac:dyDescent="0.3"/>
  <cols>
    <col min="6" max="6" width="10.33203125" bestFit="1" customWidth="1"/>
    <col min="12" max="12" width="11.109375" bestFit="1" customWidth="1"/>
  </cols>
  <sheetData>
    <row r="1" spans="1:12" ht="15" thickBot="1" x14ac:dyDescent="0.35">
      <c r="A1" s="186" t="s">
        <v>113</v>
      </c>
      <c r="B1" s="187"/>
      <c r="C1" s="187"/>
      <c r="D1" s="187"/>
      <c r="E1" s="187"/>
      <c r="F1" s="187"/>
      <c r="G1" s="187"/>
      <c r="H1" s="187"/>
      <c r="I1" s="187"/>
    </row>
    <row r="2" spans="1:12" ht="15.6" thickTop="1" thickBot="1" x14ac:dyDescent="0.35">
      <c r="B2" s="31">
        <v>1</v>
      </c>
    </row>
    <row r="3" spans="1:12" ht="15.6" thickTop="1" thickBot="1" x14ac:dyDescent="0.35">
      <c r="B3" s="31">
        <v>2</v>
      </c>
      <c r="D3" s="32" t="s">
        <v>102</v>
      </c>
      <c r="F3" s="33">
        <v>46204</v>
      </c>
    </row>
    <row r="4" spans="1:12" ht="15.6" thickTop="1" thickBot="1" x14ac:dyDescent="0.35">
      <c r="B4" s="31">
        <v>3</v>
      </c>
      <c r="D4" s="32" t="s">
        <v>101</v>
      </c>
      <c r="F4" s="33">
        <v>46205</v>
      </c>
      <c r="H4" s="34">
        <v>100</v>
      </c>
      <c r="J4" s="35">
        <v>100</v>
      </c>
    </row>
    <row r="5" spans="1:12" ht="15.6" thickTop="1" thickBot="1" x14ac:dyDescent="0.35">
      <c r="B5" s="31">
        <v>4</v>
      </c>
      <c r="D5" s="32" t="s">
        <v>103</v>
      </c>
      <c r="F5" s="33">
        <v>46206</v>
      </c>
      <c r="H5" s="34">
        <v>230</v>
      </c>
      <c r="J5" s="35">
        <v>230</v>
      </c>
      <c r="L5" s="36">
        <v>46204</v>
      </c>
    </row>
    <row r="6" spans="1:12" ht="15.6" thickTop="1" thickBot="1" x14ac:dyDescent="0.35">
      <c r="B6" s="31">
        <v>5</v>
      </c>
      <c r="D6" s="32" t="s">
        <v>104</v>
      </c>
      <c r="F6" s="33">
        <v>46207</v>
      </c>
      <c r="H6" s="34">
        <v>300</v>
      </c>
      <c r="J6" s="35">
        <v>300</v>
      </c>
      <c r="L6" s="36">
        <v>46205</v>
      </c>
    </row>
    <row r="7" spans="1:12" ht="15.6" thickTop="1" thickBot="1" x14ac:dyDescent="0.35">
      <c r="B7" s="31">
        <v>6</v>
      </c>
      <c r="D7" s="32" t="s">
        <v>105</v>
      </c>
      <c r="F7" s="33">
        <v>46208</v>
      </c>
      <c r="H7" s="34">
        <v>400</v>
      </c>
      <c r="J7" s="35">
        <v>400</v>
      </c>
      <c r="L7" s="36">
        <v>46206</v>
      </c>
    </row>
    <row r="8" spans="1:12" ht="15.6" thickTop="1" thickBot="1" x14ac:dyDescent="0.35">
      <c r="B8" s="31">
        <v>7</v>
      </c>
      <c r="D8" s="32" t="s">
        <v>106</v>
      </c>
      <c r="F8" s="33">
        <v>46209</v>
      </c>
      <c r="H8" s="34">
        <v>360</v>
      </c>
      <c r="J8" s="35">
        <v>360</v>
      </c>
      <c r="L8" s="36">
        <v>46207</v>
      </c>
    </row>
    <row r="9" spans="1:12" ht="15.6" thickTop="1" thickBot="1" x14ac:dyDescent="0.35">
      <c r="B9" s="31">
        <v>8</v>
      </c>
      <c r="D9" s="32" t="s">
        <v>107</v>
      </c>
      <c r="F9" s="33">
        <v>46210</v>
      </c>
      <c r="H9" s="34">
        <v>432</v>
      </c>
      <c r="J9" s="35">
        <v>432</v>
      </c>
      <c r="L9" s="36">
        <v>46208</v>
      </c>
    </row>
    <row r="10" spans="1:12" ht="15.6" thickTop="1" thickBot="1" x14ac:dyDescent="0.35">
      <c r="B10" s="31">
        <v>9</v>
      </c>
      <c r="D10" s="32" t="s">
        <v>108</v>
      </c>
      <c r="F10" s="33">
        <v>46211</v>
      </c>
      <c r="H10" s="34">
        <v>150</v>
      </c>
      <c r="J10" s="35">
        <v>150</v>
      </c>
      <c r="L10" s="36">
        <v>46209</v>
      </c>
    </row>
    <row r="11" spans="1:12" ht="15.6" thickTop="1" thickBot="1" x14ac:dyDescent="0.35">
      <c r="B11" s="31">
        <v>10</v>
      </c>
      <c r="D11" s="32" t="s">
        <v>109</v>
      </c>
      <c r="F11" s="33">
        <v>46212</v>
      </c>
      <c r="H11" s="34">
        <v>300</v>
      </c>
      <c r="J11" s="35">
        <v>300</v>
      </c>
      <c r="L11" s="36">
        <v>46210</v>
      </c>
    </row>
    <row r="12" spans="1:12" ht="15.6" thickTop="1" thickBot="1" x14ac:dyDescent="0.35">
      <c r="B12" s="31">
        <v>11</v>
      </c>
      <c r="D12" s="32" t="s">
        <v>110</v>
      </c>
      <c r="F12" s="33">
        <v>46213</v>
      </c>
      <c r="H12" s="34">
        <v>350</v>
      </c>
      <c r="J12" s="35">
        <v>350</v>
      </c>
      <c r="L12" s="36">
        <v>46211</v>
      </c>
    </row>
    <row r="13" spans="1:12" ht="15.6" thickTop="1" thickBot="1" x14ac:dyDescent="0.35">
      <c r="B13" s="31">
        <v>12</v>
      </c>
      <c r="D13" s="32" t="s">
        <v>111</v>
      </c>
      <c r="F13" s="33">
        <v>46214</v>
      </c>
      <c r="H13" s="34">
        <v>600</v>
      </c>
      <c r="J13" s="35">
        <v>600</v>
      </c>
      <c r="L13" s="36">
        <v>46212</v>
      </c>
    </row>
    <row r="14" spans="1:12" ht="15.6" thickTop="1" thickBot="1" x14ac:dyDescent="0.35">
      <c r="B14" s="31">
        <v>13</v>
      </c>
      <c r="D14" s="32" t="s">
        <v>112</v>
      </c>
      <c r="F14" s="33">
        <v>46215</v>
      </c>
      <c r="L14" s="36">
        <v>46213</v>
      </c>
    </row>
    <row r="15" spans="1:12" ht="15.6" thickTop="1" thickBot="1" x14ac:dyDescent="0.35">
      <c r="B15" s="31">
        <v>14</v>
      </c>
      <c r="F15" s="33">
        <v>46216</v>
      </c>
      <c r="L15" s="36">
        <v>46214</v>
      </c>
    </row>
    <row r="16" spans="1:12" ht="15.6" thickTop="1" thickBot="1" x14ac:dyDescent="0.35">
      <c r="B16" s="31">
        <v>15</v>
      </c>
      <c r="F16" s="33">
        <v>46217</v>
      </c>
      <c r="L16" s="36">
        <v>46215</v>
      </c>
    </row>
    <row r="17" spans="2:12" ht="15.6" thickTop="1" thickBot="1" x14ac:dyDescent="0.35">
      <c r="B17" s="31">
        <v>16</v>
      </c>
      <c r="F17" s="33">
        <v>46218</v>
      </c>
      <c r="L17" s="36">
        <v>46216</v>
      </c>
    </row>
    <row r="18" spans="2:12" ht="15.6" thickTop="1" thickBot="1" x14ac:dyDescent="0.35">
      <c r="B18" s="31">
        <v>17</v>
      </c>
      <c r="F18" s="33">
        <v>46219</v>
      </c>
      <c r="L18" s="36">
        <v>46217</v>
      </c>
    </row>
    <row r="19" spans="2:12" ht="15.6" thickTop="1" thickBot="1" x14ac:dyDescent="0.35">
      <c r="B19" s="31">
        <v>18</v>
      </c>
      <c r="F19" s="33">
        <v>46220</v>
      </c>
      <c r="L19" s="36">
        <v>46218</v>
      </c>
    </row>
    <row r="20" spans="2:12" ht="15.6" thickTop="1" thickBot="1" x14ac:dyDescent="0.35">
      <c r="B20" s="31">
        <v>19</v>
      </c>
      <c r="F20" s="33">
        <v>46221</v>
      </c>
      <c r="L20" s="36">
        <v>46219</v>
      </c>
    </row>
    <row r="21" spans="2:12" ht="15.6" thickTop="1" thickBot="1" x14ac:dyDescent="0.35">
      <c r="B21" s="31">
        <v>20</v>
      </c>
      <c r="L21" s="36">
        <v>46220</v>
      </c>
    </row>
    <row r="22" spans="2:12" ht="15.6" thickTop="1" thickBot="1" x14ac:dyDescent="0.35">
      <c r="B22" s="31">
        <v>21</v>
      </c>
      <c r="L22" s="36">
        <v>46221</v>
      </c>
    </row>
    <row r="23" spans="2:12" ht="15.6" thickTop="1" thickBot="1" x14ac:dyDescent="0.35">
      <c r="B23" s="31">
        <v>22</v>
      </c>
    </row>
    <row r="24" spans="2:12" ht="15.6" thickTop="1" thickBot="1" x14ac:dyDescent="0.35">
      <c r="B24" s="31">
        <v>23</v>
      </c>
    </row>
    <row r="25" spans="2:12" ht="15.6" thickTop="1" thickBot="1" x14ac:dyDescent="0.35">
      <c r="B25" s="31">
        <v>24</v>
      </c>
    </row>
    <row r="26" spans="2:12" ht="15.6" thickTop="1" thickBot="1" x14ac:dyDescent="0.35">
      <c r="B26" s="31">
        <v>25</v>
      </c>
    </row>
    <row r="27" spans="2:12" ht="15" thickTop="1" x14ac:dyDescent="0.3"/>
  </sheetData>
  <mergeCells count="1">
    <mergeCell ref="A1:I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64190-7CB5-401C-8B71-AC95BAD6EF8F}">
  <dimension ref="A2:J21"/>
  <sheetViews>
    <sheetView workbookViewId="0">
      <selection activeCell="O6" sqref="O6"/>
    </sheetView>
  </sheetViews>
  <sheetFormatPr defaultRowHeight="14.4" x14ac:dyDescent="0.3"/>
  <cols>
    <col min="3" max="3" width="10.33203125" bestFit="1" customWidth="1"/>
  </cols>
  <sheetData>
    <row r="2" spans="1:10" ht="15" thickBot="1" x14ac:dyDescent="0.35"/>
    <row r="3" spans="1:10" ht="15.6" thickTop="1" thickBot="1" x14ac:dyDescent="0.35">
      <c r="C3" s="33">
        <v>46221</v>
      </c>
      <c r="D3" s="191" t="s">
        <v>120</v>
      </c>
    </row>
    <row r="4" spans="1:10" ht="15.6" thickTop="1" thickBot="1" x14ac:dyDescent="0.35">
      <c r="C4" s="33">
        <v>46220</v>
      </c>
      <c r="D4" s="191"/>
    </row>
    <row r="5" spans="1:10" ht="15.6" thickTop="1" thickBot="1" x14ac:dyDescent="0.35">
      <c r="A5" s="40"/>
      <c r="C5" s="33">
        <v>46219</v>
      </c>
      <c r="D5" s="191"/>
      <c r="E5" s="35">
        <v>600</v>
      </c>
      <c r="F5" s="190" t="s">
        <v>120</v>
      </c>
      <c r="G5" s="39">
        <v>0.1</v>
      </c>
      <c r="H5" s="188" t="s">
        <v>119</v>
      </c>
      <c r="I5" s="41" t="s">
        <v>114</v>
      </c>
      <c r="J5" s="189" t="s">
        <v>119</v>
      </c>
    </row>
    <row r="6" spans="1:10" ht="15.6" thickTop="1" thickBot="1" x14ac:dyDescent="0.35">
      <c r="A6" s="40"/>
      <c r="C6" s="33">
        <v>46218</v>
      </c>
      <c r="D6" s="191"/>
      <c r="E6" s="35">
        <v>432</v>
      </c>
      <c r="F6" s="190"/>
      <c r="G6" s="38">
        <v>0.3</v>
      </c>
      <c r="H6" s="188"/>
      <c r="I6" s="37" t="s">
        <v>115</v>
      </c>
      <c r="J6" s="189"/>
    </row>
    <row r="7" spans="1:10" ht="15.6" thickTop="1" thickBot="1" x14ac:dyDescent="0.35">
      <c r="A7" s="40"/>
      <c r="C7" s="33">
        <v>46217</v>
      </c>
      <c r="D7" s="191"/>
      <c r="E7" s="35">
        <v>400</v>
      </c>
      <c r="F7" s="190"/>
      <c r="G7" s="38">
        <v>0.34</v>
      </c>
      <c r="H7" s="188"/>
      <c r="I7" s="37" t="s">
        <v>116</v>
      </c>
      <c r="J7" s="189"/>
    </row>
    <row r="8" spans="1:10" ht="15.6" thickTop="1" thickBot="1" x14ac:dyDescent="0.35">
      <c r="A8" s="40"/>
      <c r="C8" s="33">
        <v>46216</v>
      </c>
      <c r="D8" s="191"/>
      <c r="E8" s="35">
        <v>360</v>
      </c>
      <c r="F8" s="190"/>
      <c r="G8" s="38">
        <v>0.43</v>
      </c>
      <c r="H8" s="188"/>
      <c r="I8" s="37" t="s">
        <v>117</v>
      </c>
      <c r="J8" s="189"/>
    </row>
    <row r="9" spans="1:10" ht="15.6" thickTop="1" thickBot="1" x14ac:dyDescent="0.35">
      <c r="A9" s="40"/>
      <c r="C9" s="33">
        <v>46215</v>
      </c>
      <c r="D9" s="191"/>
      <c r="E9" s="35">
        <v>350</v>
      </c>
      <c r="F9" s="190"/>
      <c r="G9" s="38">
        <v>0.45</v>
      </c>
      <c r="H9" s="188"/>
      <c r="I9" s="37" t="s">
        <v>118</v>
      </c>
      <c r="J9" s="189"/>
    </row>
    <row r="10" spans="1:10" ht="15.6" thickTop="1" thickBot="1" x14ac:dyDescent="0.35">
      <c r="A10" s="40"/>
      <c r="C10" s="33">
        <v>46214</v>
      </c>
      <c r="D10" s="191"/>
      <c r="E10" s="35">
        <v>300</v>
      </c>
      <c r="F10" s="190"/>
      <c r="G10" s="38">
        <v>0.5</v>
      </c>
      <c r="H10" s="188"/>
    </row>
    <row r="11" spans="1:10" ht="15.6" thickTop="1" thickBot="1" x14ac:dyDescent="0.35">
      <c r="A11" s="40"/>
      <c r="C11" s="33">
        <v>46213</v>
      </c>
      <c r="D11" s="191"/>
      <c r="E11" s="35">
        <v>300</v>
      </c>
      <c r="F11" s="190"/>
      <c r="G11" s="38">
        <v>0.6</v>
      </c>
      <c r="H11" s="188"/>
    </row>
    <row r="12" spans="1:10" ht="15.6" thickTop="1" thickBot="1" x14ac:dyDescent="0.35">
      <c r="A12" s="40"/>
      <c r="C12" s="33">
        <v>46212</v>
      </c>
      <c r="D12" s="191"/>
      <c r="E12" s="35">
        <v>230</v>
      </c>
      <c r="F12" s="190"/>
      <c r="G12" s="38">
        <v>0.9</v>
      </c>
      <c r="H12" s="188"/>
    </row>
    <row r="13" spans="1:10" ht="15.6" thickTop="1" thickBot="1" x14ac:dyDescent="0.35">
      <c r="A13" s="40"/>
      <c r="C13" s="33">
        <v>46211</v>
      </c>
      <c r="D13" s="191"/>
      <c r="E13" s="35">
        <v>150</v>
      </c>
      <c r="F13" s="190"/>
    </row>
    <row r="14" spans="1:10" ht="15.6" thickTop="1" thickBot="1" x14ac:dyDescent="0.35">
      <c r="A14" s="40"/>
      <c r="C14" s="33">
        <v>46210</v>
      </c>
      <c r="D14" s="191"/>
      <c r="E14" s="35">
        <v>100</v>
      </c>
      <c r="F14" s="190"/>
    </row>
    <row r="15" spans="1:10" ht="15.6" thickTop="1" thickBot="1" x14ac:dyDescent="0.35">
      <c r="A15" s="40"/>
      <c r="C15" s="33">
        <v>46209</v>
      </c>
      <c r="D15" s="191"/>
    </row>
    <row r="16" spans="1:10" ht="15.6" thickTop="1" thickBot="1" x14ac:dyDescent="0.35">
      <c r="A16" s="40"/>
      <c r="C16" s="33">
        <v>46208</v>
      </c>
      <c r="D16" s="191"/>
    </row>
    <row r="17" spans="3:4" ht="15.6" thickTop="1" thickBot="1" x14ac:dyDescent="0.35">
      <c r="C17" s="33">
        <v>46207</v>
      </c>
      <c r="D17" s="191"/>
    </row>
    <row r="18" spans="3:4" ht="15.6" thickTop="1" thickBot="1" x14ac:dyDescent="0.35">
      <c r="C18" s="33">
        <v>46206</v>
      </c>
      <c r="D18" s="191"/>
    </row>
    <row r="19" spans="3:4" ht="15.6" thickTop="1" thickBot="1" x14ac:dyDescent="0.35">
      <c r="C19" s="33">
        <v>46205</v>
      </c>
      <c r="D19" s="191"/>
    </row>
    <row r="20" spans="3:4" ht="15.6" thickTop="1" thickBot="1" x14ac:dyDescent="0.35">
      <c r="C20" s="33">
        <v>46204</v>
      </c>
    </row>
    <row r="21" spans="3:4" ht="15" thickTop="1" x14ac:dyDescent="0.3"/>
  </sheetData>
  <sortState xmlns:xlrd2="http://schemas.microsoft.com/office/spreadsheetml/2017/richdata2" ref="C3:C20">
    <sortCondition descending="1" ref="C3:C20"/>
  </sortState>
  <mergeCells count="4">
    <mergeCell ref="H5:H12"/>
    <mergeCell ref="J5:J9"/>
    <mergeCell ref="F5:F14"/>
    <mergeCell ref="D3:D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20EEC-F602-41FC-A27B-C700CA1265F2}">
  <dimension ref="B3:J38"/>
  <sheetViews>
    <sheetView zoomScale="57" workbookViewId="0">
      <selection activeCell="B3" sqref="B3:E23"/>
    </sheetView>
  </sheetViews>
  <sheetFormatPr defaultRowHeight="14.4" x14ac:dyDescent="0.3"/>
  <cols>
    <col min="2" max="2" width="24.109375" customWidth="1"/>
    <col min="3" max="3" width="17.44140625" bestFit="1" customWidth="1"/>
    <col min="4" max="4" width="28" customWidth="1"/>
    <col min="5" max="5" width="12.6640625" customWidth="1"/>
    <col min="9" max="9" width="56.77734375" customWidth="1"/>
    <col min="10" max="10" width="37.77734375" customWidth="1"/>
  </cols>
  <sheetData>
    <row r="3" spans="2:10" ht="18" x14ac:dyDescent="0.3">
      <c r="B3" s="42" t="s">
        <v>121</v>
      </c>
      <c r="C3" s="42" t="s">
        <v>122</v>
      </c>
      <c r="D3" s="63" t="s">
        <v>123</v>
      </c>
      <c r="E3" s="42" t="s">
        <v>124</v>
      </c>
      <c r="I3" s="44" t="s">
        <v>146</v>
      </c>
      <c r="J3" s="43"/>
    </row>
    <row r="4" spans="2:10" ht="16.8" x14ac:dyDescent="0.3">
      <c r="B4" s="57" t="s">
        <v>125</v>
      </c>
      <c r="C4" s="70">
        <v>5000</v>
      </c>
      <c r="D4" s="64">
        <v>45299</v>
      </c>
      <c r="E4" s="57" t="s">
        <v>126</v>
      </c>
      <c r="I4" s="43"/>
      <c r="J4" s="43"/>
    </row>
    <row r="5" spans="2:10" ht="16.8" x14ac:dyDescent="0.3">
      <c r="B5" s="57" t="s">
        <v>127</v>
      </c>
      <c r="C5" s="70">
        <v>6000</v>
      </c>
      <c r="D5" s="64">
        <v>45297</v>
      </c>
      <c r="E5" s="57" t="s">
        <v>128</v>
      </c>
      <c r="I5" s="45">
        <f>SUM(C4:C10)</f>
        <v>55000</v>
      </c>
      <c r="J5" s="192" t="s">
        <v>147</v>
      </c>
    </row>
    <row r="6" spans="2:10" ht="16.8" x14ac:dyDescent="0.3">
      <c r="B6" s="57" t="s">
        <v>129</v>
      </c>
      <c r="C6" s="70">
        <v>7000</v>
      </c>
      <c r="D6" s="64">
        <v>45308</v>
      </c>
      <c r="E6" s="57" t="s">
        <v>128</v>
      </c>
      <c r="I6" s="46">
        <f>C4+C5+C6+C7+C8+C9+C10</f>
        <v>55000</v>
      </c>
      <c r="J6" s="193"/>
    </row>
    <row r="7" spans="2:10" ht="16.8" x14ac:dyDescent="0.3">
      <c r="B7" s="57" t="s">
        <v>130</v>
      </c>
      <c r="C7" s="70">
        <v>8000</v>
      </c>
      <c r="D7" s="64">
        <v>45301</v>
      </c>
      <c r="E7" s="57" t="s">
        <v>128</v>
      </c>
      <c r="I7" s="47"/>
      <c r="J7" s="48"/>
    </row>
    <row r="8" spans="2:10" ht="16.8" x14ac:dyDescent="0.3">
      <c r="B8" s="57" t="s">
        <v>131</v>
      </c>
      <c r="C8" s="70">
        <v>9000</v>
      </c>
      <c r="D8" s="64">
        <v>45297</v>
      </c>
      <c r="E8" s="57" t="s">
        <v>132</v>
      </c>
      <c r="I8" s="45">
        <f>SUM(C4:C23)</f>
        <v>444000</v>
      </c>
      <c r="J8" s="49" t="s">
        <v>148</v>
      </c>
    </row>
    <row r="9" spans="2:10" ht="16.8" x14ac:dyDescent="0.3">
      <c r="B9" s="57" t="s">
        <v>133</v>
      </c>
      <c r="C9" s="70">
        <v>10000</v>
      </c>
      <c r="D9" s="64">
        <v>45292</v>
      </c>
      <c r="E9" s="57" t="s">
        <v>134</v>
      </c>
      <c r="I9" s="43"/>
      <c r="J9" s="43"/>
    </row>
    <row r="10" spans="2:10" ht="16.8" x14ac:dyDescent="0.3">
      <c r="B10" s="57" t="s">
        <v>129</v>
      </c>
      <c r="C10" s="70">
        <v>10000</v>
      </c>
      <c r="D10" s="64">
        <v>45313</v>
      </c>
      <c r="E10" s="57" t="s">
        <v>126</v>
      </c>
      <c r="I10" s="50">
        <f>PRODUCT(C4:C10)</f>
        <v>1.512E+27</v>
      </c>
      <c r="J10" s="49" t="s">
        <v>149</v>
      </c>
    </row>
    <row r="11" spans="2:10" ht="16.8" x14ac:dyDescent="0.3">
      <c r="B11" s="57" t="s">
        <v>135</v>
      </c>
      <c r="C11" s="70">
        <v>15000</v>
      </c>
      <c r="D11" s="64">
        <v>45294</v>
      </c>
      <c r="E11" s="57" t="s">
        <v>134</v>
      </c>
      <c r="I11" s="51"/>
      <c r="J11" s="52"/>
    </row>
    <row r="12" spans="2:10" ht="16.8" x14ac:dyDescent="0.3">
      <c r="B12" s="57" t="s">
        <v>136</v>
      </c>
      <c r="C12" s="70">
        <v>18000</v>
      </c>
      <c r="D12" s="64">
        <v>45310</v>
      </c>
      <c r="E12" s="57" t="s">
        <v>134</v>
      </c>
      <c r="I12" s="53"/>
      <c r="J12" s="43"/>
    </row>
    <row r="13" spans="2:10" ht="16.8" x14ac:dyDescent="0.3">
      <c r="B13" s="57" t="s">
        <v>137</v>
      </c>
      <c r="C13" s="70">
        <v>25000</v>
      </c>
      <c r="D13" s="64">
        <v>45311</v>
      </c>
      <c r="E13" s="57" t="s">
        <v>132</v>
      </c>
      <c r="I13" s="43"/>
      <c r="J13" s="43"/>
    </row>
    <row r="14" spans="2:10" ht="16.8" x14ac:dyDescent="0.3">
      <c r="B14" s="57" t="s">
        <v>138</v>
      </c>
      <c r="C14" s="70">
        <v>25000</v>
      </c>
      <c r="D14" s="64">
        <v>45301</v>
      </c>
      <c r="E14" s="57" t="s">
        <v>134</v>
      </c>
      <c r="I14" s="54">
        <f>C9-C4</f>
        <v>5000</v>
      </c>
      <c r="J14" s="49" t="s">
        <v>150</v>
      </c>
    </row>
    <row r="15" spans="2:10" ht="16.8" x14ac:dyDescent="0.3">
      <c r="B15" s="57" t="s">
        <v>139</v>
      </c>
      <c r="C15" s="70">
        <v>30000</v>
      </c>
      <c r="D15" s="64">
        <v>45306</v>
      </c>
      <c r="E15" s="57" t="s">
        <v>126</v>
      </c>
      <c r="I15" s="55" t="str">
        <f>IMSUB(C10,C4)</f>
        <v>5000</v>
      </c>
      <c r="J15" s="49" t="s">
        <v>150</v>
      </c>
    </row>
    <row r="16" spans="2:10" ht="16.8" x14ac:dyDescent="0.3">
      <c r="B16" s="57" t="s">
        <v>140</v>
      </c>
      <c r="C16" s="70">
        <v>30000</v>
      </c>
      <c r="D16" s="64">
        <v>45304</v>
      </c>
      <c r="E16" s="57" t="s">
        <v>126</v>
      </c>
      <c r="I16" s="43"/>
      <c r="J16" s="43"/>
    </row>
    <row r="17" spans="2:10" ht="16.8" x14ac:dyDescent="0.3">
      <c r="B17" s="57" t="s">
        <v>141</v>
      </c>
      <c r="C17" s="70">
        <v>35000</v>
      </c>
      <c r="D17" s="64">
        <v>45304</v>
      </c>
      <c r="E17" s="57" t="s">
        <v>126</v>
      </c>
      <c r="I17" s="52"/>
      <c r="J17" s="52"/>
    </row>
    <row r="18" spans="2:10" ht="17.399999999999999" thickBot="1" x14ac:dyDescent="0.35">
      <c r="B18" s="57" t="s">
        <v>142</v>
      </c>
      <c r="C18" s="71">
        <v>36000</v>
      </c>
      <c r="D18" s="64">
        <v>45302</v>
      </c>
      <c r="E18" s="57" t="s">
        <v>132</v>
      </c>
      <c r="I18" s="45">
        <f>AVERAGE(C4:C23)</f>
        <v>24666.666666666668</v>
      </c>
      <c r="J18" s="49" t="s">
        <v>151</v>
      </c>
    </row>
    <row r="19" spans="2:10" ht="17.399999999999999" thickBot="1" x14ac:dyDescent="0.35">
      <c r="B19" s="59" t="s">
        <v>143</v>
      </c>
      <c r="C19" s="60"/>
      <c r="D19" s="65">
        <v>45303</v>
      </c>
      <c r="E19" s="57" t="s">
        <v>132</v>
      </c>
      <c r="I19" s="52"/>
      <c r="J19" s="52"/>
    </row>
    <row r="20" spans="2:10" ht="16.8" x14ac:dyDescent="0.3">
      <c r="B20" s="57" t="s">
        <v>125</v>
      </c>
      <c r="C20" s="72">
        <v>45000</v>
      </c>
      <c r="D20" s="64">
        <v>45298</v>
      </c>
      <c r="E20" s="57" t="s">
        <v>128</v>
      </c>
      <c r="I20" s="45">
        <f>MIN(C4:C23)</f>
        <v>5000</v>
      </c>
      <c r="J20" s="49" t="s">
        <v>152</v>
      </c>
    </row>
    <row r="21" spans="2:10" ht="17.399999999999999" thickBot="1" x14ac:dyDescent="0.35">
      <c r="B21" s="57" t="s">
        <v>131</v>
      </c>
      <c r="C21" s="69">
        <v>50000</v>
      </c>
      <c r="D21" s="66">
        <v>45313</v>
      </c>
      <c r="E21" s="58" t="s">
        <v>134</v>
      </c>
      <c r="I21" s="45">
        <f>MAX(C4:C23)</f>
        <v>80000</v>
      </c>
      <c r="J21" s="49" t="s">
        <v>153</v>
      </c>
    </row>
    <row r="22" spans="2:10" ht="17.399999999999999" thickBot="1" x14ac:dyDescent="0.35">
      <c r="B22" s="59" t="s">
        <v>136</v>
      </c>
      <c r="C22" s="73" t="s">
        <v>144</v>
      </c>
      <c r="D22" s="67">
        <v>45295</v>
      </c>
      <c r="E22" s="61" t="s">
        <v>132</v>
      </c>
      <c r="I22" s="49">
        <f>COUNT(C4:C23)</f>
        <v>18</v>
      </c>
      <c r="J22" s="49" t="s">
        <v>154</v>
      </c>
    </row>
    <row r="23" spans="2:10" ht="16.8" x14ac:dyDescent="0.3">
      <c r="B23" s="57" t="s">
        <v>138</v>
      </c>
      <c r="C23" s="72">
        <v>80000</v>
      </c>
      <c r="D23" s="68">
        <v>45296</v>
      </c>
      <c r="E23" s="61" t="s">
        <v>132</v>
      </c>
      <c r="I23" s="49">
        <f>COUNTA(C4:C23)</f>
        <v>19</v>
      </c>
      <c r="J23" s="49" t="s">
        <v>155</v>
      </c>
    </row>
    <row r="24" spans="2:10" ht="46.8" x14ac:dyDescent="0.3">
      <c r="B24" s="74" t="s">
        <v>145</v>
      </c>
      <c r="C24" s="83">
        <f>SUM(C4:C23)</f>
        <v>444000</v>
      </c>
      <c r="D24" s="62"/>
      <c r="E24" s="62"/>
      <c r="I24" s="49">
        <f>COUNTBLANK(C4:C23)</f>
        <v>1</v>
      </c>
      <c r="J24" s="49" t="s">
        <v>156</v>
      </c>
    </row>
    <row r="25" spans="2:10" ht="15.6" x14ac:dyDescent="0.3">
      <c r="I25" s="56"/>
      <c r="J25" s="47"/>
    </row>
    <row r="28" spans="2:10" ht="23.4" x14ac:dyDescent="0.3">
      <c r="D28" s="78" t="s">
        <v>162</v>
      </c>
    </row>
    <row r="29" spans="2:10" ht="18" x14ac:dyDescent="0.35">
      <c r="B29" s="75">
        <v>5000</v>
      </c>
      <c r="C29" s="76">
        <f>B29+B30+B31+B32+B33</f>
        <v>39000</v>
      </c>
      <c r="D29" s="79" t="s">
        <v>157</v>
      </c>
      <c r="E29" s="194" t="s">
        <v>159</v>
      </c>
    </row>
    <row r="30" spans="2:10" ht="21" x14ac:dyDescent="0.4">
      <c r="B30" s="75">
        <v>10000</v>
      </c>
      <c r="C30" s="77">
        <f>5000+6000+7000+8000+9000</f>
        <v>35000</v>
      </c>
      <c r="D30" s="80" t="s">
        <v>158</v>
      </c>
      <c r="E30" s="194"/>
      <c r="I30" s="81" t="s">
        <v>163</v>
      </c>
    </row>
    <row r="31" spans="2:10" ht="21" x14ac:dyDescent="0.4">
      <c r="B31" s="75">
        <v>7000</v>
      </c>
      <c r="C31" s="76">
        <f>B29-B30</f>
        <v>-5000</v>
      </c>
      <c r="D31" s="79" t="s">
        <v>160</v>
      </c>
      <c r="E31" s="194"/>
      <c r="I31" s="81" t="s">
        <v>164</v>
      </c>
    </row>
    <row r="32" spans="2:10" ht="21" x14ac:dyDescent="0.4">
      <c r="B32" s="75">
        <v>8000</v>
      </c>
      <c r="C32" s="77">
        <f>B33/B29</f>
        <v>1.8</v>
      </c>
      <c r="D32" s="79" t="s">
        <v>161</v>
      </c>
      <c r="E32" s="194"/>
      <c r="I32" s="81" t="s">
        <v>165</v>
      </c>
    </row>
    <row r="33" spans="2:9" ht="21" x14ac:dyDescent="0.4">
      <c r="B33" s="75">
        <v>9000</v>
      </c>
      <c r="C33" s="77">
        <f>B29*B30</f>
        <v>50000000</v>
      </c>
      <c r="D33" s="79" t="s">
        <v>160</v>
      </c>
      <c r="E33" s="194"/>
      <c r="I33" s="82" t="s">
        <v>166</v>
      </c>
    </row>
    <row r="34" spans="2:9" ht="21" x14ac:dyDescent="0.4">
      <c r="I34" s="82" t="s">
        <v>167</v>
      </c>
    </row>
    <row r="37" spans="2:9" ht="15.6" x14ac:dyDescent="0.3">
      <c r="I37" s="45">
        <f>SUM(C36:C42)</f>
        <v>0</v>
      </c>
    </row>
    <row r="38" spans="2:9" ht="15.6" x14ac:dyDescent="0.3">
      <c r="I38" s="45">
        <f>SUM(C37:C43)</f>
        <v>0</v>
      </c>
    </row>
  </sheetData>
  <mergeCells count="2">
    <mergeCell ref="J5:J6"/>
    <mergeCell ref="E29:E33"/>
  </mergeCells>
  <pageMargins left="0.7" right="0.7" top="0.75" bottom="0.75" header="0.3" footer="0.3"/>
  <ignoredErrors>
    <ignoredError sqref="I5 I10" formulaRange="1"/>
  </ignoredError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627B5-0589-4AAB-A732-AA61D5617788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CA5F4-8917-473B-8B46-2C71AFACCCAD}">
  <dimension ref="D3:N28"/>
  <sheetViews>
    <sheetView topLeftCell="G7" workbookViewId="0">
      <selection activeCell="L22" sqref="L22"/>
    </sheetView>
  </sheetViews>
  <sheetFormatPr defaultRowHeight="14.4" x14ac:dyDescent="0.3"/>
  <cols>
    <col min="5" max="5" width="13.109375" customWidth="1"/>
    <col min="7" max="7" width="14.5546875" customWidth="1"/>
    <col min="8" max="8" width="18.77734375" customWidth="1"/>
    <col min="9" max="9" width="13.6640625" customWidth="1"/>
    <col min="10" max="10" width="16.88671875" customWidth="1"/>
    <col min="11" max="11" width="14.6640625" customWidth="1"/>
    <col min="12" max="12" width="12.33203125" customWidth="1"/>
    <col min="13" max="13" width="13.33203125" customWidth="1"/>
    <col min="14" max="14" width="13.21875" customWidth="1"/>
  </cols>
  <sheetData>
    <row r="3" spans="4:14" ht="31.2" x14ac:dyDescent="0.3">
      <c r="D3" s="84" t="s">
        <v>168</v>
      </c>
      <c r="E3" s="84" t="s">
        <v>169</v>
      </c>
      <c r="F3" s="84" t="s">
        <v>170</v>
      </c>
      <c r="G3" s="84" t="s">
        <v>171</v>
      </c>
      <c r="H3" s="84" t="s">
        <v>172</v>
      </c>
      <c r="I3" s="84" t="s">
        <v>173</v>
      </c>
      <c r="J3" s="84" t="s">
        <v>174</v>
      </c>
      <c r="K3" s="84" t="s">
        <v>175</v>
      </c>
      <c r="L3" s="88" t="s">
        <v>176</v>
      </c>
      <c r="M3" s="92" t="s">
        <v>190</v>
      </c>
      <c r="N3" s="90" t="s">
        <v>176</v>
      </c>
    </row>
    <row r="4" spans="4:14" ht="15.6" x14ac:dyDescent="0.3">
      <c r="D4" s="85">
        <v>1</v>
      </c>
      <c r="E4" s="85" t="s">
        <v>177</v>
      </c>
      <c r="F4" s="86">
        <v>10</v>
      </c>
      <c r="G4" s="86">
        <v>100</v>
      </c>
      <c r="H4" s="86">
        <v>90</v>
      </c>
      <c r="I4" s="86">
        <v>200</v>
      </c>
      <c r="J4" s="86">
        <v>300</v>
      </c>
      <c r="K4" s="87">
        <f>(I4/J4)</f>
        <v>0.66666666666666663</v>
      </c>
      <c r="L4" s="89">
        <f>I4/J4*100</f>
        <v>66.666666666666657</v>
      </c>
      <c r="M4" s="93">
        <v>100</v>
      </c>
      <c r="N4" s="91">
        <f>I4/J4*$F$20</f>
        <v>66.666666666666657</v>
      </c>
    </row>
    <row r="5" spans="4:14" ht="15.6" x14ac:dyDescent="0.3">
      <c r="D5" s="85">
        <v>2</v>
      </c>
      <c r="E5" s="85" t="s">
        <v>178</v>
      </c>
      <c r="F5" s="86">
        <v>20</v>
      </c>
      <c r="G5" s="86">
        <v>90</v>
      </c>
      <c r="H5" s="86">
        <v>70</v>
      </c>
      <c r="I5" s="86">
        <v>180</v>
      </c>
      <c r="J5" s="86">
        <v>300</v>
      </c>
      <c r="K5" s="87">
        <f>I5/J5</f>
        <v>0.6</v>
      </c>
      <c r="L5" s="89">
        <f t="shared" ref="L5:L17" si="0">I5/J5*100</f>
        <v>60</v>
      </c>
      <c r="M5" s="93">
        <v>100</v>
      </c>
      <c r="N5" s="91">
        <f t="shared" ref="N5:N17" si="1">I5/J5*$F$20</f>
        <v>60</v>
      </c>
    </row>
    <row r="6" spans="4:14" ht="15.6" x14ac:dyDescent="0.3">
      <c r="D6" s="85">
        <v>3</v>
      </c>
      <c r="E6" s="85" t="s">
        <v>179</v>
      </c>
      <c r="F6" s="86">
        <v>30</v>
      </c>
      <c r="G6" s="86">
        <v>80</v>
      </c>
      <c r="H6" s="86">
        <v>50</v>
      </c>
      <c r="I6" s="86">
        <v>160</v>
      </c>
      <c r="J6" s="86">
        <v>300</v>
      </c>
      <c r="K6" s="87">
        <f>I6/J6</f>
        <v>0.53333333333333333</v>
      </c>
      <c r="L6" s="89">
        <f t="shared" si="0"/>
        <v>53.333333333333336</v>
      </c>
      <c r="M6" s="93">
        <v>100</v>
      </c>
      <c r="N6" s="91">
        <f t="shared" si="1"/>
        <v>53.333333333333336</v>
      </c>
    </row>
    <row r="7" spans="4:14" ht="15.6" x14ac:dyDescent="0.3">
      <c r="D7" s="85">
        <v>4</v>
      </c>
      <c r="E7" s="85" t="s">
        <v>180</v>
      </c>
      <c r="F7" s="86">
        <v>40</v>
      </c>
      <c r="G7" s="86">
        <v>70</v>
      </c>
      <c r="H7" s="86">
        <v>20</v>
      </c>
      <c r="I7" s="86">
        <v>130</v>
      </c>
      <c r="J7" s="86">
        <v>300</v>
      </c>
      <c r="K7" s="87">
        <f>I7/J7</f>
        <v>0.43333333333333335</v>
      </c>
      <c r="L7" s="89">
        <f t="shared" si="0"/>
        <v>43.333333333333336</v>
      </c>
      <c r="M7" s="93">
        <v>100</v>
      </c>
      <c r="N7" s="91">
        <f t="shared" si="1"/>
        <v>43.333333333333336</v>
      </c>
    </row>
    <row r="8" spans="4:14" ht="15.6" x14ac:dyDescent="0.3">
      <c r="D8" s="85">
        <v>5</v>
      </c>
      <c r="E8" s="85" t="s">
        <v>181</v>
      </c>
      <c r="F8" s="86">
        <v>50</v>
      </c>
      <c r="G8" s="86">
        <v>60</v>
      </c>
      <c r="H8" s="86">
        <v>40</v>
      </c>
      <c r="I8" s="86">
        <v>150</v>
      </c>
      <c r="J8" s="86">
        <v>300</v>
      </c>
      <c r="K8" s="87">
        <f>I8/J8</f>
        <v>0.5</v>
      </c>
      <c r="L8" s="89">
        <f t="shared" si="0"/>
        <v>50</v>
      </c>
      <c r="M8" s="93">
        <v>100</v>
      </c>
      <c r="N8" s="91">
        <f t="shared" si="1"/>
        <v>50</v>
      </c>
    </row>
    <row r="9" spans="4:14" ht="15.6" x14ac:dyDescent="0.3">
      <c r="D9" s="85">
        <v>6</v>
      </c>
      <c r="E9" s="85" t="s">
        <v>182</v>
      </c>
      <c r="F9" s="86">
        <v>60</v>
      </c>
      <c r="G9" s="86">
        <v>50</v>
      </c>
      <c r="H9" s="86">
        <v>80</v>
      </c>
      <c r="I9" s="86">
        <v>190</v>
      </c>
      <c r="J9" s="86">
        <v>300</v>
      </c>
      <c r="K9" s="87">
        <f>(I9/J9)</f>
        <v>0.6333333333333333</v>
      </c>
      <c r="L9" s="89">
        <f t="shared" si="0"/>
        <v>63.333333333333329</v>
      </c>
      <c r="M9" s="93">
        <v>100</v>
      </c>
      <c r="N9" s="91">
        <f t="shared" si="1"/>
        <v>63.333333333333329</v>
      </c>
    </row>
    <row r="10" spans="4:14" ht="15.6" x14ac:dyDescent="0.3">
      <c r="D10" s="85">
        <v>7</v>
      </c>
      <c r="E10" s="85" t="s">
        <v>183</v>
      </c>
      <c r="F10" s="86">
        <v>70</v>
      </c>
      <c r="G10" s="86">
        <v>40</v>
      </c>
      <c r="H10" s="86">
        <v>100</v>
      </c>
      <c r="I10" s="86">
        <v>210</v>
      </c>
      <c r="J10" s="86">
        <v>300</v>
      </c>
      <c r="K10" s="87">
        <f>I10/J10</f>
        <v>0.7</v>
      </c>
      <c r="L10" s="89">
        <f t="shared" si="0"/>
        <v>70</v>
      </c>
      <c r="M10" s="93">
        <v>100</v>
      </c>
      <c r="N10" s="91">
        <f t="shared" si="1"/>
        <v>70</v>
      </c>
    </row>
    <row r="11" spans="4:14" ht="15.6" x14ac:dyDescent="0.3">
      <c r="D11" s="85">
        <v>8</v>
      </c>
      <c r="E11" s="85" t="s">
        <v>184</v>
      </c>
      <c r="F11" s="86">
        <v>80</v>
      </c>
      <c r="G11" s="86">
        <v>80</v>
      </c>
      <c r="H11" s="86">
        <v>75</v>
      </c>
      <c r="I11" s="86">
        <v>235</v>
      </c>
      <c r="J11" s="86">
        <v>300</v>
      </c>
      <c r="K11" s="87">
        <f>I11/J11</f>
        <v>0.78333333333333333</v>
      </c>
      <c r="L11" s="89">
        <f t="shared" si="0"/>
        <v>78.333333333333329</v>
      </c>
      <c r="M11" s="93">
        <v>100</v>
      </c>
      <c r="N11" s="91">
        <f t="shared" si="1"/>
        <v>78.333333333333329</v>
      </c>
    </row>
    <row r="12" spans="4:14" ht="15.6" x14ac:dyDescent="0.3">
      <c r="D12" s="85">
        <v>9</v>
      </c>
      <c r="E12" s="85" t="s">
        <v>185</v>
      </c>
      <c r="F12" s="86">
        <v>90</v>
      </c>
      <c r="G12" s="86">
        <v>90</v>
      </c>
      <c r="H12" s="86">
        <v>35</v>
      </c>
      <c r="I12" s="86">
        <v>215</v>
      </c>
      <c r="J12" s="86">
        <v>300</v>
      </c>
      <c r="K12" s="87">
        <f>(I12/J12)</f>
        <v>0.71666666666666667</v>
      </c>
      <c r="L12" s="89">
        <f t="shared" si="0"/>
        <v>71.666666666666671</v>
      </c>
      <c r="M12" s="93">
        <v>100</v>
      </c>
      <c r="N12" s="91">
        <f t="shared" si="1"/>
        <v>71.666666666666671</v>
      </c>
    </row>
    <row r="13" spans="4:14" ht="15.6" x14ac:dyDescent="0.3">
      <c r="D13" s="85">
        <v>10</v>
      </c>
      <c r="E13" s="85" t="s">
        <v>186</v>
      </c>
      <c r="F13" s="86">
        <v>100</v>
      </c>
      <c r="G13" s="86">
        <v>20</v>
      </c>
      <c r="H13" s="86">
        <v>90</v>
      </c>
      <c r="I13" s="86">
        <v>210</v>
      </c>
      <c r="J13" s="86">
        <v>300</v>
      </c>
      <c r="K13" s="87">
        <f>I13/J13</f>
        <v>0.7</v>
      </c>
      <c r="L13" s="89">
        <f t="shared" si="0"/>
        <v>70</v>
      </c>
      <c r="M13" s="93">
        <v>100</v>
      </c>
      <c r="N13" s="91">
        <f t="shared" si="1"/>
        <v>70</v>
      </c>
    </row>
    <row r="14" spans="4:14" ht="15.6" x14ac:dyDescent="0.3">
      <c r="D14" s="85">
        <v>11</v>
      </c>
      <c r="E14" s="85" t="s">
        <v>81</v>
      </c>
      <c r="F14" s="86">
        <v>67</v>
      </c>
      <c r="G14" s="86">
        <v>30</v>
      </c>
      <c r="H14" s="86">
        <v>25</v>
      </c>
      <c r="I14" s="86">
        <v>122</v>
      </c>
      <c r="J14" s="86">
        <v>300</v>
      </c>
      <c r="K14" s="87">
        <f>I14/J14</f>
        <v>0.40666666666666668</v>
      </c>
      <c r="L14" s="89">
        <f t="shared" si="0"/>
        <v>40.666666666666664</v>
      </c>
      <c r="M14" s="93">
        <v>100</v>
      </c>
      <c r="N14" s="91">
        <f t="shared" si="1"/>
        <v>40.666666666666664</v>
      </c>
    </row>
    <row r="15" spans="4:14" ht="15.6" x14ac:dyDescent="0.3">
      <c r="D15" s="85">
        <v>12</v>
      </c>
      <c r="E15" s="85" t="s">
        <v>187</v>
      </c>
      <c r="F15" s="86">
        <v>80</v>
      </c>
      <c r="G15" s="86">
        <v>50</v>
      </c>
      <c r="H15" s="86">
        <v>85</v>
      </c>
      <c r="I15" s="86">
        <v>215</v>
      </c>
      <c r="J15" s="86">
        <v>300</v>
      </c>
      <c r="K15" s="87">
        <f>I15/J15</f>
        <v>0.71666666666666667</v>
      </c>
      <c r="L15" s="89">
        <f t="shared" si="0"/>
        <v>71.666666666666671</v>
      </c>
      <c r="M15" s="93">
        <v>100</v>
      </c>
      <c r="N15" s="91">
        <f t="shared" si="1"/>
        <v>71.666666666666671</v>
      </c>
    </row>
    <row r="16" spans="4:14" ht="15.6" x14ac:dyDescent="0.3">
      <c r="D16" s="85">
        <v>13</v>
      </c>
      <c r="E16" s="85" t="s">
        <v>188</v>
      </c>
      <c r="F16" s="86">
        <v>90</v>
      </c>
      <c r="G16" s="86">
        <v>100</v>
      </c>
      <c r="H16" s="86">
        <v>50</v>
      </c>
      <c r="I16" s="86">
        <v>240</v>
      </c>
      <c r="J16" s="86">
        <v>300</v>
      </c>
      <c r="K16" s="87">
        <f>I16/J16</f>
        <v>0.8</v>
      </c>
      <c r="L16" s="89">
        <f t="shared" si="0"/>
        <v>80</v>
      </c>
      <c r="M16" s="93">
        <v>100</v>
      </c>
      <c r="N16" s="91">
        <f t="shared" si="1"/>
        <v>80</v>
      </c>
    </row>
    <row r="17" spans="4:14" ht="15.6" x14ac:dyDescent="0.3">
      <c r="D17" s="85">
        <v>14</v>
      </c>
      <c r="E17" s="85" t="s">
        <v>189</v>
      </c>
      <c r="F17" s="86">
        <v>40</v>
      </c>
      <c r="G17" s="86">
        <v>70</v>
      </c>
      <c r="H17" s="86">
        <v>60</v>
      </c>
      <c r="I17" s="86">
        <v>170</v>
      </c>
      <c r="J17" s="86">
        <v>300</v>
      </c>
      <c r="K17" s="87">
        <f>(I17/J17)</f>
        <v>0.56666666666666665</v>
      </c>
      <c r="L17" s="89">
        <f t="shared" si="0"/>
        <v>56.666666666666664</v>
      </c>
      <c r="M17" s="93">
        <v>100</v>
      </c>
      <c r="N17" s="91">
        <f t="shared" si="1"/>
        <v>56.666666666666664</v>
      </c>
    </row>
    <row r="19" spans="4:14" ht="15" thickBot="1" x14ac:dyDescent="0.35"/>
    <row r="20" spans="4:14" ht="16.2" thickBot="1" x14ac:dyDescent="0.35">
      <c r="E20" s="95" t="s">
        <v>191</v>
      </c>
      <c r="F20" s="94">
        <v>100</v>
      </c>
    </row>
    <row r="21" spans="4:14" ht="15" thickBot="1" x14ac:dyDescent="0.35"/>
    <row r="22" spans="4:14" ht="16.2" thickBot="1" x14ac:dyDescent="0.35">
      <c r="H22" s="84" t="s">
        <v>173</v>
      </c>
      <c r="I22" s="84" t="s">
        <v>174</v>
      </c>
      <c r="J22" s="99" t="s">
        <v>176</v>
      </c>
      <c r="K22" s="100" t="s">
        <v>176</v>
      </c>
      <c r="L22" s="98" t="s">
        <v>191</v>
      </c>
      <c r="M22" s="97">
        <v>100</v>
      </c>
    </row>
    <row r="23" spans="4:14" ht="15.6" x14ac:dyDescent="0.3">
      <c r="H23" s="86">
        <v>210</v>
      </c>
      <c r="I23" s="86">
        <v>300</v>
      </c>
      <c r="J23" s="101">
        <f>H23/I23</f>
        <v>0.7</v>
      </c>
      <c r="K23" s="102">
        <f>H23/I23*$M$22</f>
        <v>70</v>
      </c>
    </row>
    <row r="24" spans="4:14" ht="15.6" x14ac:dyDescent="0.3">
      <c r="H24" s="86">
        <v>122</v>
      </c>
      <c r="I24" s="86">
        <v>300</v>
      </c>
      <c r="J24" s="101">
        <f>H24/I24</f>
        <v>0.40666666666666668</v>
      </c>
      <c r="K24" s="102">
        <f t="shared" ref="K24:K27" si="2">H24/I24*$M$22</f>
        <v>40.666666666666664</v>
      </c>
    </row>
    <row r="25" spans="4:14" ht="15.6" x14ac:dyDescent="0.3">
      <c r="H25" s="86">
        <v>215</v>
      </c>
      <c r="I25" s="86">
        <v>300</v>
      </c>
      <c r="J25" s="101">
        <f t="shared" ref="J25:J27" si="3">H25/I25</f>
        <v>0.71666666666666667</v>
      </c>
      <c r="K25" s="102">
        <f t="shared" si="2"/>
        <v>71.666666666666671</v>
      </c>
    </row>
    <row r="26" spans="4:14" ht="15.6" x14ac:dyDescent="0.3">
      <c r="H26" s="86">
        <v>240</v>
      </c>
      <c r="I26" s="86">
        <v>300</v>
      </c>
      <c r="J26" s="101">
        <f t="shared" si="3"/>
        <v>0.8</v>
      </c>
      <c r="K26" s="102">
        <f t="shared" si="2"/>
        <v>80</v>
      </c>
    </row>
    <row r="27" spans="4:14" ht="15.6" x14ac:dyDescent="0.3">
      <c r="H27" s="86">
        <v>170</v>
      </c>
      <c r="I27" s="86">
        <v>300</v>
      </c>
      <c r="J27" s="101">
        <f t="shared" si="3"/>
        <v>0.56666666666666665</v>
      </c>
      <c r="K27" s="102">
        <f t="shared" si="2"/>
        <v>56.666666666666664</v>
      </c>
    </row>
    <row r="28" spans="4:14" x14ac:dyDescent="0.3">
      <c r="J28" s="9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58600-DE18-43D3-8E17-578B05CFDD12}">
  <dimension ref="C4:I47"/>
  <sheetViews>
    <sheetView topLeftCell="D16" zoomScale="62" workbookViewId="0">
      <selection activeCell="H27" sqref="H27"/>
    </sheetView>
  </sheetViews>
  <sheetFormatPr defaultRowHeight="14.4" x14ac:dyDescent="0.3"/>
  <cols>
    <col min="3" max="3" width="25.6640625" customWidth="1"/>
    <col min="4" max="4" width="36" customWidth="1"/>
    <col min="5" max="5" width="28.6640625" customWidth="1"/>
    <col min="6" max="6" width="23.44140625" customWidth="1"/>
    <col min="7" max="7" width="20.109375" customWidth="1"/>
    <col min="8" max="8" width="21.109375" customWidth="1"/>
    <col min="9" max="9" width="23.44140625" customWidth="1"/>
  </cols>
  <sheetData>
    <row r="4" spans="3:9" ht="17.399999999999999" x14ac:dyDescent="0.3">
      <c r="C4" s="105" t="s">
        <v>192</v>
      </c>
      <c r="D4" s="105" t="s">
        <v>193</v>
      </c>
      <c r="E4" s="105" t="s">
        <v>194</v>
      </c>
      <c r="F4" s="105" t="s">
        <v>195</v>
      </c>
      <c r="G4" s="105" t="s">
        <v>196</v>
      </c>
      <c r="H4" s="105" t="s">
        <v>197</v>
      </c>
      <c r="I4" s="105" t="s">
        <v>198</v>
      </c>
    </row>
    <row r="5" spans="3:9" ht="17.399999999999999" x14ac:dyDescent="0.3">
      <c r="C5" s="106" t="s">
        <v>199</v>
      </c>
      <c r="D5" s="106" t="str">
        <f>UPPER(C5)</f>
        <v>ANANYA SHROFF</v>
      </c>
      <c r="E5" s="106" t="str">
        <f>LOWER(C5)</f>
        <v>ananya shroff</v>
      </c>
      <c r="F5" s="106" t="str">
        <f>PROPER(E5)</f>
        <v>Ananya Shroff</v>
      </c>
      <c r="G5" s="106" t="str">
        <f>LEFT(C5,5)</f>
        <v>Anany</v>
      </c>
      <c r="H5" s="106" t="str">
        <f>RIGHT(F5,3)</f>
        <v>off</v>
      </c>
      <c r="I5" s="106" t="str">
        <f>MID(F5,7,10)</f>
        <v xml:space="preserve"> Shroff</v>
      </c>
    </row>
    <row r="6" spans="3:9" ht="17.399999999999999" x14ac:dyDescent="0.3">
      <c r="C6" s="106" t="s">
        <v>200</v>
      </c>
      <c r="D6" s="106" t="str">
        <f>UPPER(C6)</f>
        <v>AROHI SHARMA</v>
      </c>
      <c r="E6" s="106" t="str">
        <f>LOWER(C6)</f>
        <v>arohi sharma</v>
      </c>
      <c r="F6" s="106" t="str">
        <f>PROPER(E6)</f>
        <v>Arohi Sharma</v>
      </c>
      <c r="G6" s="106" t="str">
        <f t="shared" ref="G6:G13" si="0">LEFT(C6,5)</f>
        <v>Arohi</v>
      </c>
      <c r="H6" s="106" t="str">
        <f>RIGHT(F6,4)</f>
        <v>arma</v>
      </c>
      <c r="I6" s="106" t="str">
        <f>MID(F6,2,12)</f>
        <v>rohi Sharma</v>
      </c>
    </row>
    <row r="7" spans="3:9" ht="33.6" customHeight="1" x14ac:dyDescent="0.3">
      <c r="C7" s="106" t="s">
        <v>201</v>
      </c>
      <c r="D7" s="106" t="str">
        <f t="shared" ref="D7:D13" si="1">UPPER(C7)</f>
        <v>MOHANDAS KARAMCHAND GANDHI</v>
      </c>
      <c r="E7" s="106" t="str">
        <f t="shared" ref="E7:E13" si="2">LOWER(C7)</f>
        <v>mohandas karamchand gandhi</v>
      </c>
      <c r="F7" s="106" t="str">
        <f t="shared" ref="F7:F13" si="3">PROPER(E7)</f>
        <v>Mohandas Karamchand Gandhi</v>
      </c>
      <c r="G7" s="106" t="str">
        <f t="shared" si="0"/>
        <v>Mohan</v>
      </c>
      <c r="H7" s="106" t="str">
        <f t="shared" ref="H7" si="4">RIGHT(F7,3)</f>
        <v>dhi</v>
      </c>
      <c r="I7" s="106" t="str">
        <f>MID(F7,10,26)</f>
        <v>Karamchand Gandhi</v>
      </c>
    </row>
    <row r="8" spans="3:9" ht="17.399999999999999" x14ac:dyDescent="0.3">
      <c r="C8" s="106" t="s">
        <v>202</v>
      </c>
      <c r="D8" s="106" t="str">
        <f t="shared" si="1"/>
        <v>MILIND KUMAR KALRA</v>
      </c>
      <c r="E8" s="106" t="str">
        <f t="shared" si="2"/>
        <v>milind kumar kalra</v>
      </c>
      <c r="F8" s="106" t="str">
        <f t="shared" si="3"/>
        <v>Milind Kumar Kalra</v>
      </c>
      <c r="G8" s="106" t="str">
        <f t="shared" si="0"/>
        <v>Milin</v>
      </c>
      <c r="H8" s="106" t="str">
        <f t="shared" ref="H8" si="5">RIGHT(F8,4)</f>
        <v>alra</v>
      </c>
      <c r="I8" s="106" t="str">
        <f t="shared" ref="I8:I13" si="6">MID(F8,10,26)</f>
        <v>mar Kalra</v>
      </c>
    </row>
    <row r="9" spans="3:9" ht="17.399999999999999" x14ac:dyDescent="0.3">
      <c r="C9" s="106" t="s">
        <v>203</v>
      </c>
      <c r="D9" s="106" t="str">
        <f t="shared" si="1"/>
        <v>ANSHU POONAWALA</v>
      </c>
      <c r="E9" s="106" t="str">
        <f t="shared" si="2"/>
        <v>anshu poonawala</v>
      </c>
      <c r="F9" s="106" t="str">
        <f t="shared" si="3"/>
        <v>Anshu Poonawala</v>
      </c>
      <c r="G9" s="106" t="str">
        <f t="shared" si="0"/>
        <v>Anshu</v>
      </c>
      <c r="H9" s="106" t="str">
        <f t="shared" ref="H9" si="7">RIGHT(F9,3)</f>
        <v>ala</v>
      </c>
      <c r="I9" s="106" t="str">
        <f t="shared" si="6"/>
        <v>nawala</v>
      </c>
    </row>
    <row r="10" spans="3:9" ht="17.399999999999999" x14ac:dyDescent="0.3">
      <c r="C10" s="106" t="s">
        <v>204</v>
      </c>
      <c r="D10" s="106" t="str">
        <f t="shared" si="1"/>
        <v>RAHUL SINGH SHARMA</v>
      </c>
      <c r="E10" s="106" t="str">
        <f t="shared" si="2"/>
        <v>rahul singh sharma</v>
      </c>
      <c r="F10" s="106" t="str">
        <f t="shared" si="3"/>
        <v>Rahul Singh Sharma</v>
      </c>
      <c r="G10" s="106" t="str">
        <f t="shared" si="0"/>
        <v>Rahul</v>
      </c>
      <c r="H10" s="106" t="str">
        <f t="shared" ref="H10" si="8">RIGHT(F10,4)</f>
        <v>arma</v>
      </c>
      <c r="I10" s="106" t="str">
        <f t="shared" si="6"/>
        <v>gh Sharma</v>
      </c>
    </row>
    <row r="11" spans="3:9" ht="17.399999999999999" x14ac:dyDescent="0.3">
      <c r="C11" s="106" t="s">
        <v>205</v>
      </c>
      <c r="D11" s="106" t="str">
        <f t="shared" si="1"/>
        <v>NEIL ARMSTRONG</v>
      </c>
      <c r="E11" s="106" t="str">
        <f t="shared" si="2"/>
        <v>neil armstrong</v>
      </c>
      <c r="F11" s="106" t="str">
        <f t="shared" si="3"/>
        <v>Neil Armstrong</v>
      </c>
      <c r="G11" s="106" t="str">
        <f t="shared" si="0"/>
        <v xml:space="preserve">Neil </v>
      </c>
      <c r="H11" s="106" t="str">
        <f t="shared" ref="H11" si="9">RIGHT(F11,3)</f>
        <v>ong</v>
      </c>
      <c r="I11" s="106" t="str">
        <f t="shared" si="6"/>
        <v>trong</v>
      </c>
    </row>
    <row r="12" spans="3:9" ht="17.399999999999999" x14ac:dyDescent="0.3">
      <c r="C12" s="106" t="s">
        <v>206</v>
      </c>
      <c r="D12" s="106" t="str">
        <f t="shared" si="1"/>
        <v>AVNISH AGRAWAL</v>
      </c>
      <c r="E12" s="106" t="str">
        <f t="shared" si="2"/>
        <v>avnish agrawal</v>
      </c>
      <c r="F12" s="106" t="str">
        <f t="shared" si="3"/>
        <v>Avnish Agrawal</v>
      </c>
      <c r="G12" s="106" t="str">
        <f t="shared" si="0"/>
        <v>Avnis</v>
      </c>
      <c r="H12" s="106" t="str">
        <f t="shared" ref="H12" si="10">RIGHT(F12,4)</f>
        <v>awal</v>
      </c>
      <c r="I12" s="106" t="str">
        <f t="shared" si="6"/>
        <v>rawal</v>
      </c>
    </row>
    <row r="13" spans="3:9" ht="17.399999999999999" x14ac:dyDescent="0.3">
      <c r="C13" s="106" t="s">
        <v>207</v>
      </c>
      <c r="D13" s="106" t="str">
        <f t="shared" si="1"/>
        <v>SHASHANK KHAN</v>
      </c>
      <c r="E13" s="106" t="str">
        <f t="shared" si="2"/>
        <v>shashank khan</v>
      </c>
      <c r="F13" s="106" t="str">
        <f t="shared" si="3"/>
        <v>Shashank Khan</v>
      </c>
      <c r="G13" s="106" t="str">
        <f t="shared" si="0"/>
        <v>Shash</v>
      </c>
      <c r="H13" s="106" t="str">
        <f t="shared" ref="H13" si="11">RIGHT(F13,3)</f>
        <v>han</v>
      </c>
      <c r="I13" s="106" t="str">
        <f t="shared" si="6"/>
        <v>Khan</v>
      </c>
    </row>
    <row r="14" spans="3:9" ht="17.399999999999999" x14ac:dyDescent="0.3">
      <c r="C14" s="104"/>
      <c r="D14" s="104"/>
      <c r="E14" s="104"/>
      <c r="F14" s="104"/>
      <c r="G14" s="104"/>
      <c r="H14" s="104"/>
      <c r="I14" s="104"/>
    </row>
    <row r="15" spans="3:9" ht="17.399999999999999" x14ac:dyDescent="0.3">
      <c r="C15" s="104"/>
      <c r="D15" s="104"/>
      <c r="E15" s="104"/>
      <c r="F15" s="104"/>
      <c r="G15" s="104"/>
      <c r="H15" s="104"/>
      <c r="I15" s="104"/>
    </row>
    <row r="16" spans="3:9" ht="18" thickBot="1" x14ac:dyDescent="0.35">
      <c r="C16" s="104"/>
      <c r="D16" s="104"/>
      <c r="E16" s="104"/>
      <c r="F16" s="104"/>
      <c r="G16" s="107"/>
      <c r="H16" s="104"/>
      <c r="I16" s="104"/>
    </row>
    <row r="17" spans="3:9" ht="35.4" thickTop="1" x14ac:dyDescent="0.3">
      <c r="C17" s="105" t="s">
        <v>192</v>
      </c>
      <c r="D17" s="105" t="s">
        <v>208</v>
      </c>
      <c r="E17" s="105" t="s">
        <v>209</v>
      </c>
      <c r="F17" s="105" t="s">
        <v>208</v>
      </c>
      <c r="G17" s="105" t="s">
        <v>210</v>
      </c>
      <c r="H17" s="108" t="s">
        <v>211</v>
      </c>
      <c r="I17" s="104"/>
    </row>
    <row r="18" spans="3:9" ht="17.399999999999999" x14ac:dyDescent="0.3">
      <c r="C18" s="103" t="s">
        <v>212</v>
      </c>
      <c r="D18" s="106">
        <f>LEN(C18)</f>
        <v>17</v>
      </c>
      <c r="E18" s="106" t="str">
        <f>TRIM(C18)</f>
        <v>Ananya Pandey</v>
      </c>
      <c r="F18" s="106">
        <f>LEN(E18)</f>
        <v>13</v>
      </c>
      <c r="G18" s="106">
        <f>FIND("an",E18)</f>
        <v>3</v>
      </c>
      <c r="H18" s="106">
        <f>SEARCH("an",E18)</f>
        <v>1</v>
      </c>
      <c r="I18" s="104"/>
    </row>
    <row r="19" spans="3:9" ht="17.399999999999999" x14ac:dyDescent="0.3">
      <c r="C19" s="106" t="s">
        <v>231</v>
      </c>
      <c r="D19" s="106">
        <f>LEN(C19)</f>
        <v>13</v>
      </c>
      <c r="E19" s="106" t="str">
        <f>TRIM(C19)</f>
        <v>Arohi Sharma</v>
      </c>
      <c r="F19" s="106">
        <f>LEN(E19)</f>
        <v>12</v>
      </c>
      <c r="G19" s="106">
        <f>FIND("a",E19)</f>
        <v>9</v>
      </c>
      <c r="H19" s="106">
        <f>SEARCH("ar",E19)</f>
        <v>1</v>
      </c>
      <c r="I19" s="104"/>
    </row>
    <row r="20" spans="3:9" ht="52.2" x14ac:dyDescent="0.3">
      <c r="C20" s="106" t="s">
        <v>213</v>
      </c>
      <c r="D20" s="106">
        <f t="shared" ref="D20:D26" si="12">LEN(C20)</f>
        <v>33</v>
      </c>
      <c r="E20" s="106" t="str">
        <f t="shared" ref="E20:E26" si="13">TRIM(C20)</f>
        <v>Mohandas Karamchand G andhi</v>
      </c>
      <c r="F20" s="106">
        <f t="shared" ref="F20:F26" si="14">LEN(E20)</f>
        <v>27</v>
      </c>
      <c r="G20" s="106" t="e">
        <f>FIND("An",E20)</f>
        <v>#VALUE!</v>
      </c>
      <c r="H20" s="106">
        <f>SEARCH("An",E20)</f>
        <v>4</v>
      </c>
      <c r="I20" s="104"/>
    </row>
    <row r="21" spans="3:9" ht="17.399999999999999" x14ac:dyDescent="0.3">
      <c r="C21" s="106" t="s">
        <v>214</v>
      </c>
      <c r="D21" s="106">
        <f t="shared" si="12"/>
        <v>27</v>
      </c>
      <c r="E21" s="106" t="str">
        <f t="shared" si="13"/>
        <v>Milind Kalra</v>
      </c>
      <c r="F21" s="106">
        <f t="shared" si="14"/>
        <v>12</v>
      </c>
      <c r="G21" s="109">
        <f>FIND("i",E21)</f>
        <v>2</v>
      </c>
      <c r="H21" s="109">
        <f>SEARCH("I",E21)</f>
        <v>2</v>
      </c>
      <c r="I21" s="104"/>
    </row>
    <row r="22" spans="3:9" ht="34.799999999999997" x14ac:dyDescent="0.3">
      <c r="C22" s="106" t="s">
        <v>215</v>
      </c>
      <c r="D22" s="106">
        <f t="shared" si="12"/>
        <v>30</v>
      </c>
      <c r="E22" s="106" t="str">
        <f t="shared" si="13"/>
        <v>Anshu Poonawala</v>
      </c>
      <c r="F22" s="106">
        <f t="shared" si="14"/>
        <v>15</v>
      </c>
      <c r="G22" s="109">
        <f>FIND("n",E22)</f>
        <v>2</v>
      </c>
      <c r="H22" s="109">
        <f>SEARCH("u",E22)</f>
        <v>5</v>
      </c>
      <c r="I22" s="104"/>
    </row>
    <row r="23" spans="3:9" ht="17.399999999999999" x14ac:dyDescent="0.3">
      <c r="C23" s="106" t="s">
        <v>216</v>
      </c>
      <c r="D23" s="106">
        <f t="shared" si="12"/>
        <v>24</v>
      </c>
      <c r="E23" s="106" t="str">
        <f t="shared" si="13"/>
        <v>Rahul Singh Sharma</v>
      </c>
      <c r="F23" s="106">
        <f t="shared" si="14"/>
        <v>18</v>
      </c>
      <c r="G23" s="109">
        <f>FIND("h",E23)</f>
        <v>3</v>
      </c>
      <c r="H23" s="109">
        <f>SEARCH("I",E23)</f>
        <v>8</v>
      </c>
      <c r="I23" s="104"/>
    </row>
    <row r="24" spans="3:9" ht="17.399999999999999" x14ac:dyDescent="0.3">
      <c r="C24" s="106" t="s">
        <v>217</v>
      </c>
      <c r="D24" s="106">
        <f t="shared" si="12"/>
        <v>18</v>
      </c>
      <c r="E24" s="106" t="str">
        <f t="shared" si="13"/>
        <v>Neil Armstrong</v>
      </c>
      <c r="F24" s="106">
        <f t="shared" si="14"/>
        <v>14</v>
      </c>
      <c r="G24" s="109">
        <f>FIND("e",E24)</f>
        <v>2</v>
      </c>
      <c r="H24" s="109">
        <f>SEARCH("e",E24)</f>
        <v>2</v>
      </c>
      <c r="I24" s="104"/>
    </row>
    <row r="25" spans="3:9" ht="17.399999999999999" x14ac:dyDescent="0.3">
      <c r="C25" s="106" t="s">
        <v>206</v>
      </c>
      <c r="D25" s="106">
        <f t="shared" si="12"/>
        <v>14</v>
      </c>
      <c r="E25" s="106" t="str">
        <f t="shared" si="13"/>
        <v>Avnish Agrawal</v>
      </c>
      <c r="F25" s="106">
        <f t="shared" si="14"/>
        <v>14</v>
      </c>
      <c r="G25" s="109">
        <f>FIND("A",E25)</f>
        <v>1</v>
      </c>
      <c r="H25" s="109">
        <f>SEARCH("A",E25)</f>
        <v>1</v>
      </c>
      <c r="I25" s="104"/>
    </row>
    <row r="26" spans="3:9" ht="17.399999999999999" x14ac:dyDescent="0.3">
      <c r="C26" s="106" t="s">
        <v>218</v>
      </c>
      <c r="D26" s="106">
        <f t="shared" si="12"/>
        <v>18</v>
      </c>
      <c r="E26" s="106" t="str">
        <f t="shared" si="13"/>
        <v>Shashank Khan</v>
      </c>
      <c r="F26" s="106">
        <f t="shared" si="14"/>
        <v>13</v>
      </c>
      <c r="G26" s="109">
        <f>FIND("S",E26)</f>
        <v>1</v>
      </c>
      <c r="H26" s="109">
        <f>SEARCH("S",E26)</f>
        <v>1</v>
      </c>
      <c r="I26" s="104"/>
    </row>
    <row r="27" spans="3:9" ht="17.399999999999999" x14ac:dyDescent="0.3">
      <c r="C27" s="104"/>
      <c r="D27" s="104"/>
      <c r="E27" s="104"/>
      <c r="F27" s="104"/>
      <c r="G27" s="104"/>
      <c r="H27" s="104"/>
      <c r="I27" s="104"/>
    </row>
    <row r="28" spans="3:9" ht="17.399999999999999" x14ac:dyDescent="0.3">
      <c r="C28" s="106"/>
      <c r="D28" s="104"/>
      <c r="E28" s="104"/>
      <c r="F28" s="104"/>
      <c r="G28" s="104"/>
      <c r="H28" s="104"/>
      <c r="I28" s="104"/>
    </row>
    <row r="29" spans="3:9" ht="17.399999999999999" x14ac:dyDescent="0.3">
      <c r="C29" s="104"/>
      <c r="D29" s="105" t="s">
        <v>192</v>
      </c>
      <c r="E29" s="105" t="s">
        <v>219</v>
      </c>
      <c r="F29" s="105" t="s">
        <v>220</v>
      </c>
      <c r="G29" s="104"/>
      <c r="H29" s="104"/>
      <c r="I29" s="104"/>
    </row>
    <row r="30" spans="3:9" ht="17.399999999999999" x14ac:dyDescent="0.3">
      <c r="C30" s="104"/>
      <c r="D30" s="106" t="s">
        <v>221</v>
      </c>
      <c r="E30" s="106" t="str">
        <f>SUBSTITUTE(D30,"an","sa")</f>
        <v>Ansaya Psadey</v>
      </c>
      <c r="F30" s="106" t="str">
        <f>REPLACE(E30,1,3,"an")</f>
        <v>anaya Psadey</v>
      </c>
      <c r="G30" s="104"/>
      <c r="H30" s="104"/>
      <c r="I30" s="104"/>
    </row>
    <row r="31" spans="3:9" ht="17.399999999999999" x14ac:dyDescent="0.3">
      <c r="C31" s="104"/>
      <c r="D31" s="106" t="s">
        <v>200</v>
      </c>
      <c r="E31" s="106" t="str">
        <f>SUBSTITUTE(D31,"rohi","ana")</f>
        <v>Aana Sharma</v>
      </c>
      <c r="F31" s="106" t="str">
        <f>REPLACE("ana",1,3,"rohi")</f>
        <v>rohi</v>
      </c>
      <c r="G31" s="104" t="s">
        <v>232</v>
      </c>
      <c r="H31" s="104"/>
      <c r="I31" s="104"/>
    </row>
    <row r="32" spans="3:9" ht="34.799999999999997" x14ac:dyDescent="0.3">
      <c r="C32" s="104"/>
      <c r="D32" s="106" t="s">
        <v>201</v>
      </c>
      <c r="E32" s="106" t="str">
        <f>SUBSTITUTE(D32,"nd","tul",2)</f>
        <v>Mohandas Karamchatul Gandhi</v>
      </c>
      <c r="F32" s="106" t="str">
        <f>REPLACE(E32,17,3,"tu")</f>
        <v>Mohandas Karamchtul Gandhi</v>
      </c>
      <c r="G32" s="104" t="s">
        <v>233</v>
      </c>
      <c r="H32" s="104"/>
      <c r="I32" s="104"/>
    </row>
    <row r="33" spans="3:9" ht="17.399999999999999" x14ac:dyDescent="0.3">
      <c r="C33" s="104"/>
      <c r="D33" s="106" t="s">
        <v>202</v>
      </c>
      <c r="E33" s="109"/>
      <c r="F33" s="109"/>
      <c r="G33" s="104"/>
      <c r="H33" s="104"/>
      <c r="I33" s="104"/>
    </row>
    <row r="34" spans="3:9" ht="17.399999999999999" x14ac:dyDescent="0.3">
      <c r="C34" s="104"/>
      <c r="D34" s="106" t="s">
        <v>203</v>
      </c>
      <c r="E34" s="109"/>
      <c r="F34" s="109"/>
      <c r="G34" s="104"/>
      <c r="H34" s="104"/>
      <c r="I34" s="104"/>
    </row>
    <row r="35" spans="3:9" ht="17.399999999999999" x14ac:dyDescent="0.3">
      <c r="C35" s="104"/>
      <c r="D35" s="106" t="s">
        <v>204</v>
      </c>
      <c r="E35" s="109"/>
      <c r="F35" s="109"/>
      <c r="G35" s="104"/>
      <c r="H35" s="104"/>
      <c r="I35" s="104"/>
    </row>
    <row r="36" spans="3:9" ht="17.399999999999999" x14ac:dyDescent="0.3">
      <c r="C36" s="104"/>
      <c r="D36" s="106" t="s">
        <v>205</v>
      </c>
      <c r="E36" s="109"/>
      <c r="F36" s="109"/>
      <c r="G36" s="104"/>
      <c r="H36" s="104"/>
      <c r="I36" s="104"/>
    </row>
    <row r="37" spans="3:9" ht="17.399999999999999" x14ac:dyDescent="0.3">
      <c r="C37" s="104"/>
      <c r="D37" s="106" t="s">
        <v>206</v>
      </c>
      <c r="E37" s="109"/>
      <c r="F37" s="109"/>
      <c r="G37" s="104"/>
      <c r="H37" s="104"/>
      <c r="I37" s="104"/>
    </row>
    <row r="38" spans="3:9" ht="17.399999999999999" x14ac:dyDescent="0.3">
      <c r="C38" s="104"/>
      <c r="D38" s="106" t="s">
        <v>207</v>
      </c>
      <c r="E38" s="109"/>
      <c r="F38" s="109"/>
      <c r="G38" s="104"/>
      <c r="H38" s="104"/>
      <c r="I38" s="104"/>
    </row>
    <row r="39" spans="3:9" ht="17.399999999999999" x14ac:dyDescent="0.3">
      <c r="C39" s="104"/>
      <c r="D39" s="104"/>
      <c r="E39" s="104"/>
      <c r="F39" s="104"/>
      <c r="G39" s="104"/>
      <c r="H39" s="104"/>
      <c r="I39" s="104"/>
    </row>
    <row r="40" spans="3:9" ht="17.399999999999999" x14ac:dyDescent="0.3">
      <c r="C40" s="104"/>
      <c r="D40" s="110" t="s">
        <v>222</v>
      </c>
      <c r="E40" s="106"/>
      <c r="F40" s="106"/>
      <c r="G40" s="104"/>
      <c r="H40" s="104"/>
      <c r="I40" s="104"/>
    </row>
    <row r="41" spans="3:9" ht="17.399999999999999" x14ac:dyDescent="0.3">
      <c r="C41" s="104"/>
      <c r="D41" s="104"/>
      <c r="E41" s="106"/>
      <c r="F41" s="104"/>
      <c r="G41" s="104"/>
      <c r="H41" s="104"/>
      <c r="I41" s="104"/>
    </row>
    <row r="42" spans="3:9" ht="17.399999999999999" x14ac:dyDescent="0.3">
      <c r="C42" s="104"/>
      <c r="D42" s="106"/>
      <c r="E42" s="106"/>
      <c r="F42" s="111" t="s">
        <v>223</v>
      </c>
      <c r="G42" s="111" t="s">
        <v>224</v>
      </c>
      <c r="H42" s="105" t="s">
        <v>225</v>
      </c>
      <c r="I42" s="105" t="s">
        <v>226</v>
      </c>
    </row>
    <row r="43" spans="3:9" ht="17.399999999999999" x14ac:dyDescent="0.3">
      <c r="C43" s="104"/>
      <c r="D43" s="106"/>
      <c r="E43" s="106"/>
      <c r="F43" s="106" t="s">
        <v>227</v>
      </c>
      <c r="G43" s="106" t="s">
        <v>228</v>
      </c>
      <c r="H43" s="106" t="str">
        <f>_xlfn.CONCAT(F43,G43)</f>
        <v>abcxyz</v>
      </c>
      <c r="I43" s="106" t="str">
        <f>CONCATENATE(F43,"&amp;",G43)</f>
        <v>abc&amp;xyz</v>
      </c>
    </row>
    <row r="44" spans="3:9" ht="17.399999999999999" x14ac:dyDescent="0.3">
      <c r="C44" s="104"/>
      <c r="D44" s="106"/>
      <c r="E44" s="106"/>
      <c r="F44" s="106" t="s">
        <v>229</v>
      </c>
      <c r="G44" s="106" t="s">
        <v>230</v>
      </c>
      <c r="H44" s="106"/>
      <c r="I44" s="106"/>
    </row>
    <row r="45" spans="3:9" ht="17.399999999999999" x14ac:dyDescent="0.3">
      <c r="C45" s="104"/>
      <c r="D45" s="106"/>
      <c r="E45" s="106"/>
      <c r="F45" s="112">
        <v>123</v>
      </c>
      <c r="G45" s="112">
        <v>456</v>
      </c>
      <c r="H45" s="106"/>
      <c r="I45" s="106"/>
    </row>
    <row r="46" spans="3:9" ht="17.399999999999999" x14ac:dyDescent="0.3">
      <c r="C46" s="104"/>
      <c r="D46" s="106"/>
      <c r="E46" s="106"/>
      <c r="F46" s="106">
        <v>567</v>
      </c>
      <c r="G46" s="106">
        <v>789</v>
      </c>
      <c r="H46" s="106"/>
      <c r="I46" s="106"/>
    </row>
    <row r="47" spans="3:9" ht="17.399999999999999" x14ac:dyDescent="0.3">
      <c r="C47" s="104"/>
      <c r="D47" s="104"/>
      <c r="E47" s="104"/>
      <c r="F47" s="106">
        <v>567</v>
      </c>
      <c r="G47" s="106" t="s">
        <v>228</v>
      </c>
      <c r="H47" s="106"/>
      <c r="I47" s="106"/>
    </row>
  </sheetData>
  <pageMargins left="0.7" right="0.7" top="0.75" bottom="0.75" header="0.3" footer="0.3"/>
  <ignoredErrors>
    <ignoredError sqref="E18:E26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9A240-9E74-4DCD-A872-206965484917}">
  <dimension ref="B1:M22"/>
  <sheetViews>
    <sheetView topLeftCell="G2" zoomScale="87" workbookViewId="0">
      <selection activeCell="I4" sqref="I4"/>
    </sheetView>
  </sheetViews>
  <sheetFormatPr defaultRowHeight="14.4" x14ac:dyDescent="0.3"/>
  <cols>
    <col min="2" max="2" width="26.88671875" customWidth="1"/>
    <col min="3" max="3" width="15.77734375" bestFit="1" customWidth="1"/>
    <col min="4" max="4" width="22.5546875" bestFit="1" customWidth="1"/>
    <col min="5" max="5" width="20.88671875" customWidth="1"/>
    <col min="6" max="6" width="16.88671875" customWidth="1"/>
    <col min="7" max="7" width="27.109375" customWidth="1"/>
    <col min="8" max="8" width="25.77734375" customWidth="1"/>
    <col min="9" max="10" width="24.44140625" customWidth="1"/>
  </cols>
  <sheetData>
    <row r="1" spans="2:13" ht="39.6" customHeight="1" x14ac:dyDescent="0.85">
      <c r="D1" s="195" t="s">
        <v>351</v>
      </c>
      <c r="E1" s="195"/>
      <c r="F1" s="195"/>
      <c r="G1" s="195"/>
      <c r="H1" s="195"/>
      <c r="I1" s="195"/>
      <c r="J1" s="195"/>
      <c r="K1" s="195"/>
      <c r="L1" s="195"/>
      <c r="M1" s="195"/>
    </row>
    <row r="2" spans="2:13" ht="64.8" customHeight="1" x14ac:dyDescent="0.3">
      <c r="B2" s="42" t="s">
        <v>121</v>
      </c>
      <c r="C2" s="42" t="s">
        <v>122</v>
      </c>
      <c r="D2" s="63" t="s">
        <v>123</v>
      </c>
      <c r="E2" s="42" t="s">
        <v>124</v>
      </c>
      <c r="G2" s="146" t="s">
        <v>121</v>
      </c>
      <c r="H2" s="147" t="s">
        <v>122</v>
      </c>
      <c r="I2" s="148" t="s">
        <v>123</v>
      </c>
      <c r="J2" s="147" t="s">
        <v>124</v>
      </c>
    </row>
    <row r="3" spans="2:13" ht="16.8" x14ac:dyDescent="0.3">
      <c r="B3" s="57" t="s">
        <v>125</v>
      </c>
      <c r="C3" s="70">
        <v>5000</v>
      </c>
      <c r="D3" s="64">
        <v>45299</v>
      </c>
      <c r="E3" s="57" t="s">
        <v>126</v>
      </c>
      <c r="G3" s="149" t="s">
        <v>125</v>
      </c>
      <c r="H3" s="150">
        <v>5000</v>
      </c>
      <c r="I3" s="151">
        <v>45299</v>
      </c>
      <c r="J3" s="152" t="s">
        <v>126</v>
      </c>
    </row>
    <row r="4" spans="2:13" ht="21.6" customHeight="1" x14ac:dyDescent="0.3">
      <c r="B4" s="57" t="s">
        <v>127</v>
      </c>
      <c r="C4" s="70">
        <v>6000</v>
      </c>
      <c r="D4" s="64">
        <v>45297</v>
      </c>
      <c r="E4" s="57" t="s">
        <v>128</v>
      </c>
      <c r="G4" s="149" t="s">
        <v>127</v>
      </c>
      <c r="H4" s="150">
        <v>6000</v>
      </c>
      <c r="I4" s="151">
        <v>45297</v>
      </c>
      <c r="J4" s="152" t="s">
        <v>128</v>
      </c>
    </row>
    <row r="5" spans="2:13" ht="16.8" x14ac:dyDescent="0.3">
      <c r="B5" s="57" t="s">
        <v>129</v>
      </c>
      <c r="C5" s="70">
        <v>7000</v>
      </c>
      <c r="D5" s="64">
        <v>45308</v>
      </c>
      <c r="E5" s="57" t="s">
        <v>128</v>
      </c>
      <c r="G5" s="149" t="s">
        <v>129</v>
      </c>
      <c r="H5" s="150">
        <v>7000</v>
      </c>
      <c r="I5" s="151">
        <v>45308</v>
      </c>
      <c r="J5" s="152" t="s">
        <v>128</v>
      </c>
    </row>
    <row r="6" spans="2:13" ht="16.8" x14ac:dyDescent="0.3">
      <c r="B6" s="57" t="s">
        <v>130</v>
      </c>
      <c r="C6" s="70">
        <v>8000</v>
      </c>
      <c r="D6" s="64">
        <v>45301</v>
      </c>
      <c r="E6" s="57" t="s">
        <v>128</v>
      </c>
      <c r="G6" s="149" t="s">
        <v>130</v>
      </c>
      <c r="H6" s="150">
        <v>8000</v>
      </c>
      <c r="I6" s="151">
        <v>45301</v>
      </c>
      <c r="J6" s="152" t="s">
        <v>128</v>
      </c>
    </row>
    <row r="7" spans="2:13" ht="16.8" x14ac:dyDescent="0.3">
      <c r="B7" s="57" t="s">
        <v>131</v>
      </c>
      <c r="C7" s="70">
        <v>9000</v>
      </c>
      <c r="D7" s="64">
        <v>45297</v>
      </c>
      <c r="E7" s="57" t="s">
        <v>132</v>
      </c>
      <c r="G7" s="149" t="s">
        <v>131</v>
      </c>
      <c r="H7" s="150">
        <v>9000</v>
      </c>
      <c r="I7" s="151">
        <v>45297</v>
      </c>
      <c r="J7" s="152" t="s">
        <v>132</v>
      </c>
    </row>
    <row r="8" spans="2:13" ht="16.8" x14ac:dyDescent="0.3">
      <c r="B8" s="57" t="s">
        <v>133</v>
      </c>
      <c r="C8" s="70">
        <v>10000</v>
      </c>
      <c r="D8" s="64">
        <v>45292</v>
      </c>
      <c r="E8" s="57" t="s">
        <v>134</v>
      </c>
      <c r="G8" s="149" t="s">
        <v>133</v>
      </c>
      <c r="H8" s="150">
        <v>10000</v>
      </c>
      <c r="I8" s="151">
        <v>45292</v>
      </c>
      <c r="J8" s="152" t="s">
        <v>134</v>
      </c>
    </row>
    <row r="9" spans="2:13" ht="16.8" x14ac:dyDescent="0.3">
      <c r="B9" s="57" t="s">
        <v>129</v>
      </c>
      <c r="C9" s="70">
        <v>10000</v>
      </c>
      <c r="D9" s="64">
        <v>45313</v>
      </c>
      <c r="E9" s="57" t="s">
        <v>126</v>
      </c>
      <c r="G9" s="149" t="s">
        <v>135</v>
      </c>
      <c r="H9" s="150">
        <v>15000</v>
      </c>
      <c r="I9" s="151">
        <v>45294</v>
      </c>
      <c r="J9" s="152" t="s">
        <v>134</v>
      </c>
    </row>
    <row r="10" spans="2:13" ht="16.8" x14ac:dyDescent="0.3">
      <c r="B10" s="57" t="s">
        <v>135</v>
      </c>
      <c r="C10" s="70">
        <v>15000</v>
      </c>
      <c r="D10" s="64">
        <v>45294</v>
      </c>
      <c r="E10" s="57" t="s">
        <v>134</v>
      </c>
      <c r="G10" s="149" t="s">
        <v>136</v>
      </c>
      <c r="H10" s="150">
        <v>18000</v>
      </c>
      <c r="I10" s="151">
        <v>45310</v>
      </c>
      <c r="J10" s="152" t="s">
        <v>134</v>
      </c>
    </row>
    <row r="11" spans="2:13" ht="16.8" x14ac:dyDescent="0.3">
      <c r="B11" s="57" t="s">
        <v>136</v>
      </c>
      <c r="C11" s="70">
        <v>18000</v>
      </c>
      <c r="D11" s="64">
        <v>45310</v>
      </c>
      <c r="E11" s="57" t="s">
        <v>134</v>
      </c>
      <c r="G11" s="149" t="s">
        <v>137</v>
      </c>
      <c r="H11" s="150">
        <v>25000</v>
      </c>
      <c r="I11" s="151">
        <v>45311</v>
      </c>
      <c r="J11" s="152" t="s">
        <v>132</v>
      </c>
    </row>
    <row r="12" spans="2:13" ht="16.8" x14ac:dyDescent="0.3">
      <c r="B12" s="57" t="s">
        <v>137</v>
      </c>
      <c r="C12" s="70">
        <v>25000</v>
      </c>
      <c r="D12" s="64">
        <v>45311</v>
      </c>
      <c r="E12" s="57" t="s">
        <v>132</v>
      </c>
      <c r="G12" s="149" t="s">
        <v>138</v>
      </c>
      <c r="H12" s="150">
        <v>25000</v>
      </c>
      <c r="I12" s="151">
        <v>45301</v>
      </c>
      <c r="J12" s="152" t="s">
        <v>134</v>
      </c>
    </row>
    <row r="13" spans="2:13" ht="16.8" x14ac:dyDescent="0.3">
      <c r="B13" s="57" t="s">
        <v>138</v>
      </c>
      <c r="C13" s="70">
        <v>25000</v>
      </c>
      <c r="D13" s="64">
        <v>45301</v>
      </c>
      <c r="E13" s="57" t="s">
        <v>134</v>
      </c>
      <c r="G13" s="149" t="s">
        <v>139</v>
      </c>
      <c r="H13" s="150">
        <v>30000</v>
      </c>
      <c r="I13" s="151">
        <v>45306</v>
      </c>
      <c r="J13" s="152" t="s">
        <v>126</v>
      </c>
    </row>
    <row r="14" spans="2:13" ht="16.8" x14ac:dyDescent="0.3">
      <c r="B14" s="57" t="s">
        <v>139</v>
      </c>
      <c r="C14" s="70">
        <v>30000</v>
      </c>
      <c r="D14" s="64">
        <v>45306</v>
      </c>
      <c r="E14" s="57" t="s">
        <v>126</v>
      </c>
      <c r="G14" s="149" t="s">
        <v>140</v>
      </c>
      <c r="H14" s="150">
        <v>30000</v>
      </c>
      <c r="I14" s="151">
        <v>45304</v>
      </c>
      <c r="J14" s="152" t="s">
        <v>126</v>
      </c>
    </row>
    <row r="15" spans="2:13" ht="20.399999999999999" customHeight="1" x14ac:dyDescent="0.3">
      <c r="B15" s="57" t="s">
        <v>140</v>
      </c>
      <c r="C15" s="70">
        <v>30000</v>
      </c>
      <c r="D15" s="64">
        <v>45304</v>
      </c>
      <c r="E15" s="57" t="s">
        <v>126</v>
      </c>
      <c r="G15" s="149" t="s">
        <v>141</v>
      </c>
      <c r="H15" s="150">
        <v>35000</v>
      </c>
      <c r="I15" s="151">
        <v>45304</v>
      </c>
      <c r="J15" s="152" t="s">
        <v>126</v>
      </c>
    </row>
    <row r="16" spans="2:13" ht="16.8" x14ac:dyDescent="0.3">
      <c r="B16" s="57" t="s">
        <v>141</v>
      </c>
      <c r="C16" s="70">
        <v>35000</v>
      </c>
      <c r="D16" s="64">
        <v>45304</v>
      </c>
      <c r="E16" s="57" t="s">
        <v>126</v>
      </c>
      <c r="G16" s="149" t="s">
        <v>142</v>
      </c>
      <c r="H16" s="150">
        <v>36000</v>
      </c>
      <c r="I16" s="151">
        <v>45302</v>
      </c>
      <c r="J16" s="152" t="s">
        <v>132</v>
      </c>
    </row>
    <row r="17" spans="2:10" ht="17.399999999999999" thickBot="1" x14ac:dyDescent="0.35">
      <c r="B17" s="57" t="s">
        <v>142</v>
      </c>
      <c r="C17" s="71">
        <v>36000</v>
      </c>
      <c r="D17" s="64">
        <v>45302</v>
      </c>
      <c r="E17" s="57" t="s">
        <v>132</v>
      </c>
      <c r="G17" s="149" t="s">
        <v>143</v>
      </c>
      <c r="H17" s="153"/>
      <c r="I17" s="151">
        <v>45303</v>
      </c>
      <c r="J17" s="152" t="s">
        <v>132</v>
      </c>
    </row>
    <row r="18" spans="2:10" ht="17.399999999999999" thickBot="1" x14ac:dyDescent="0.35">
      <c r="B18" s="59" t="s">
        <v>143</v>
      </c>
      <c r="C18" s="60"/>
      <c r="D18" s="65">
        <v>45303</v>
      </c>
      <c r="E18" s="57" t="s">
        <v>132</v>
      </c>
      <c r="G18" s="154" t="s">
        <v>151</v>
      </c>
      <c r="H18" s="156">
        <f>SUBTOTAL(101,Table1[Prices])</f>
        <v>18500</v>
      </c>
      <c r="J18" s="155">
        <f>SUBTOTAL(103,Table1[Regions])</f>
        <v>15</v>
      </c>
    </row>
    <row r="19" spans="2:10" ht="16.8" x14ac:dyDescent="0.3">
      <c r="B19" s="57" t="s">
        <v>125</v>
      </c>
      <c r="C19" s="72">
        <v>45000</v>
      </c>
      <c r="D19" s="64">
        <v>45298</v>
      </c>
      <c r="E19" s="57" t="s">
        <v>128</v>
      </c>
    </row>
    <row r="20" spans="2:10" ht="17.399999999999999" thickBot="1" x14ac:dyDescent="0.35">
      <c r="B20" s="57" t="s">
        <v>131</v>
      </c>
      <c r="C20" s="69">
        <v>50000</v>
      </c>
      <c r="D20" s="66">
        <v>45313</v>
      </c>
      <c r="E20" s="58" t="s">
        <v>134</v>
      </c>
    </row>
    <row r="21" spans="2:10" ht="17.399999999999999" thickBot="1" x14ac:dyDescent="0.35">
      <c r="B21" s="59" t="s">
        <v>136</v>
      </c>
      <c r="C21" s="73" t="s">
        <v>144</v>
      </c>
      <c r="D21" s="67">
        <v>45295</v>
      </c>
      <c r="E21" s="61" t="s">
        <v>132</v>
      </c>
    </row>
    <row r="22" spans="2:10" ht="43.8" customHeight="1" x14ac:dyDescent="0.3">
      <c r="B22" s="57" t="s">
        <v>138</v>
      </c>
      <c r="C22" s="72">
        <v>80000</v>
      </c>
      <c r="D22" s="68">
        <v>45296</v>
      </c>
      <c r="E22" s="61" t="s">
        <v>132</v>
      </c>
    </row>
  </sheetData>
  <mergeCells count="1">
    <mergeCell ref="D1:M1"/>
  </mergeCells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517B0-DCF7-41D9-A1D3-7AC3602D7B70}">
  <dimension ref="B1:R74"/>
  <sheetViews>
    <sheetView tabSelected="1" topLeftCell="E1" workbookViewId="0">
      <selection activeCell="E28" sqref="E28"/>
    </sheetView>
  </sheetViews>
  <sheetFormatPr defaultRowHeight="14.4" x14ac:dyDescent="0.3"/>
  <cols>
    <col min="2" max="2" width="25.33203125" customWidth="1"/>
    <col min="3" max="3" width="13.44140625" customWidth="1"/>
    <col min="4" max="4" width="17" customWidth="1"/>
    <col min="5" max="5" width="20.6640625" customWidth="1"/>
    <col min="6" max="6" width="16" customWidth="1"/>
    <col min="7" max="7" width="23.21875" customWidth="1"/>
    <col min="8" max="8" width="15.6640625" customWidth="1"/>
    <col min="9" max="9" width="28" customWidth="1"/>
  </cols>
  <sheetData>
    <row r="1" spans="2:18" ht="15" thickBot="1" x14ac:dyDescent="0.35"/>
    <row r="2" spans="2:18" ht="36.6" thickBot="1" x14ac:dyDescent="0.35">
      <c r="B2" s="113" t="s">
        <v>234</v>
      </c>
      <c r="C2" s="114">
        <v>2026</v>
      </c>
      <c r="D2" s="114" t="s">
        <v>235</v>
      </c>
      <c r="E2" s="211" t="s">
        <v>352</v>
      </c>
      <c r="F2" s="211" t="s">
        <v>353</v>
      </c>
      <c r="G2" s="211" t="s">
        <v>354</v>
      </c>
      <c r="H2" s="211" t="s">
        <v>355</v>
      </c>
      <c r="I2" s="211" t="s">
        <v>356</v>
      </c>
    </row>
    <row r="3" spans="2:18" ht="15" customHeight="1" thickBot="1" x14ac:dyDescent="0.35">
      <c r="B3" s="116" t="s">
        <v>236</v>
      </c>
      <c r="C3" s="117">
        <v>8</v>
      </c>
      <c r="D3" s="117" t="s">
        <v>237</v>
      </c>
      <c r="E3" s="118" t="s">
        <v>238</v>
      </c>
      <c r="F3" s="118" t="s">
        <v>239</v>
      </c>
      <c r="G3" s="119" t="s">
        <v>236</v>
      </c>
      <c r="H3" s="119" t="s">
        <v>240</v>
      </c>
      <c r="I3" s="119" t="s">
        <v>241</v>
      </c>
      <c r="K3" s="207"/>
      <c r="L3" s="207"/>
      <c r="M3" s="207"/>
      <c r="N3" s="207"/>
      <c r="O3" s="207"/>
      <c r="P3" s="207"/>
      <c r="Q3" s="207"/>
      <c r="R3" s="207"/>
    </row>
    <row r="4" spans="2:18" ht="16.8" thickBot="1" x14ac:dyDescent="0.35">
      <c r="B4" s="116" t="s">
        <v>240</v>
      </c>
      <c r="C4" s="117">
        <v>13</v>
      </c>
      <c r="D4" s="117" t="s">
        <v>242</v>
      </c>
      <c r="E4" s="210">
        <v>46228</v>
      </c>
      <c r="F4" s="212">
        <v>0.78541666666666665</v>
      </c>
      <c r="G4" s="210">
        <f ca="1">TODAY()</f>
        <v>46228</v>
      </c>
      <c r="H4" s="209">
        <f ca="1">NOW()</f>
        <v>46228.82782997685</v>
      </c>
      <c r="I4" s="210">
        <f>DATE(C2,C3,C4)</f>
        <v>46247</v>
      </c>
      <c r="K4" s="207"/>
      <c r="L4" s="207"/>
      <c r="M4" s="207"/>
      <c r="N4" s="207"/>
      <c r="O4" s="207"/>
      <c r="P4" s="207"/>
      <c r="Q4" s="207"/>
      <c r="R4" s="207"/>
    </row>
    <row r="5" spans="2:18" ht="16.2" thickBot="1" x14ac:dyDescent="0.35">
      <c r="B5" s="121" t="s">
        <v>243</v>
      </c>
      <c r="C5" s="122"/>
      <c r="D5" s="122"/>
      <c r="E5" s="122"/>
      <c r="F5" s="122"/>
      <c r="G5" s="122"/>
      <c r="H5" s="115"/>
      <c r="I5" s="115"/>
      <c r="K5" s="207"/>
      <c r="L5" s="207"/>
      <c r="M5" s="207"/>
      <c r="N5" s="207"/>
      <c r="O5" s="207"/>
      <c r="P5" s="207"/>
      <c r="Q5" s="207"/>
      <c r="R5" s="207"/>
    </row>
    <row r="6" spans="2:18" ht="16.8" thickBot="1" x14ac:dyDescent="0.35">
      <c r="B6" s="121" t="s">
        <v>244</v>
      </c>
      <c r="C6" s="122"/>
      <c r="D6" s="122"/>
      <c r="E6" s="122"/>
      <c r="F6" s="122"/>
      <c r="G6" s="123"/>
      <c r="H6" s="117" t="s">
        <v>245</v>
      </c>
      <c r="I6" s="213">
        <f>DAY(I4)</f>
        <v>13</v>
      </c>
      <c r="K6" s="207"/>
      <c r="L6" s="207"/>
      <c r="M6" s="207"/>
      <c r="N6" s="207"/>
      <c r="O6" s="207"/>
      <c r="P6" s="207"/>
      <c r="Q6" s="207"/>
      <c r="R6" s="207"/>
    </row>
    <row r="7" spans="2:18" ht="16.8" thickBot="1" x14ac:dyDescent="0.35">
      <c r="B7" s="116" t="s">
        <v>246</v>
      </c>
      <c r="C7" s="122"/>
      <c r="D7" s="122"/>
      <c r="E7" s="122"/>
      <c r="F7" s="122"/>
      <c r="G7" s="123"/>
      <c r="H7" s="117" t="s">
        <v>247</v>
      </c>
      <c r="I7" s="213">
        <f>MONTH(I4)</f>
        <v>8</v>
      </c>
      <c r="K7" s="207"/>
      <c r="L7" s="207"/>
      <c r="M7" s="207"/>
      <c r="N7" s="207"/>
      <c r="O7" s="207"/>
      <c r="P7" s="207"/>
      <c r="Q7" s="207"/>
      <c r="R7" s="207"/>
    </row>
    <row r="8" spans="2:18" ht="16.8" thickBot="1" x14ac:dyDescent="0.35">
      <c r="B8" s="116" t="s">
        <v>248</v>
      </c>
      <c r="C8" s="122"/>
      <c r="D8" s="122"/>
      <c r="E8" s="122"/>
      <c r="F8" s="122"/>
      <c r="G8" s="123"/>
      <c r="H8" s="117" t="s">
        <v>249</v>
      </c>
      <c r="I8" s="213">
        <f>YEAR(I4)</f>
        <v>2026</v>
      </c>
      <c r="K8" s="207"/>
      <c r="L8" s="207"/>
      <c r="M8" s="207"/>
      <c r="N8" s="207"/>
      <c r="O8" s="207"/>
      <c r="P8" s="207"/>
      <c r="Q8" s="207"/>
      <c r="R8" s="207"/>
    </row>
    <row r="9" spans="2:18" ht="16.2" thickBot="1" x14ac:dyDescent="0.35">
      <c r="B9" s="116" t="s">
        <v>250</v>
      </c>
      <c r="C9" s="122"/>
      <c r="D9" s="122"/>
      <c r="E9" s="115"/>
      <c r="F9" s="115"/>
      <c r="G9" s="115"/>
      <c r="H9" s="115"/>
      <c r="I9" s="122"/>
      <c r="K9" s="207"/>
      <c r="L9" s="207"/>
      <c r="M9" s="207"/>
      <c r="N9" s="207"/>
      <c r="O9" s="207"/>
      <c r="P9" s="207"/>
      <c r="Q9" s="207"/>
      <c r="R9" s="207"/>
    </row>
    <row r="10" spans="2:18" ht="19.2" customHeight="1" thickBot="1" x14ac:dyDescent="0.35">
      <c r="B10" s="116" t="s">
        <v>251</v>
      </c>
      <c r="C10" s="122"/>
      <c r="D10" s="123"/>
      <c r="E10" s="118" t="s">
        <v>252</v>
      </c>
      <c r="F10" s="118" t="s">
        <v>253</v>
      </c>
      <c r="G10" s="118" t="s">
        <v>254</v>
      </c>
      <c r="H10" s="118" t="s">
        <v>255</v>
      </c>
      <c r="I10" s="215" t="s">
        <v>357</v>
      </c>
    </row>
    <row r="11" spans="2:18" ht="16.2" customHeight="1" thickBot="1" x14ac:dyDescent="0.35">
      <c r="B11" s="116" t="s">
        <v>256</v>
      </c>
      <c r="C11" s="122"/>
      <c r="D11" s="123"/>
      <c r="E11" s="124">
        <v>44927</v>
      </c>
      <c r="F11" s="124">
        <v>45240</v>
      </c>
      <c r="G11" s="125">
        <v>2</v>
      </c>
      <c r="H11" s="125">
        <v>2</v>
      </c>
      <c r="I11" s="214">
        <f>F11+H11</f>
        <v>45242</v>
      </c>
      <c r="K11" s="219" t="s">
        <v>359</v>
      </c>
      <c r="L11" s="219"/>
      <c r="M11" s="219"/>
      <c r="N11" s="219"/>
      <c r="O11" s="219"/>
    </row>
    <row r="12" spans="2:18" ht="16.2" thickBot="1" x14ac:dyDescent="0.35">
      <c r="B12" s="116" t="s">
        <v>257</v>
      </c>
      <c r="C12" s="122"/>
      <c r="D12" s="123"/>
      <c r="E12" s="124">
        <v>45507</v>
      </c>
      <c r="F12" s="124">
        <v>44908</v>
      </c>
      <c r="G12" s="125">
        <v>5</v>
      </c>
      <c r="H12" s="125">
        <v>5</v>
      </c>
      <c r="I12" s="214">
        <f>F12+H12</f>
        <v>44913</v>
      </c>
      <c r="K12" s="219" t="s">
        <v>360</v>
      </c>
      <c r="L12" s="219"/>
      <c r="M12" s="219"/>
      <c r="N12" s="219"/>
      <c r="O12" s="219"/>
    </row>
    <row r="13" spans="2:18" ht="16.8" thickBot="1" x14ac:dyDescent="0.35">
      <c r="B13" s="116" t="s">
        <v>258</v>
      </c>
      <c r="C13" s="122"/>
      <c r="D13" s="123"/>
      <c r="E13" s="124">
        <v>42257</v>
      </c>
      <c r="F13" s="124">
        <v>42298</v>
      </c>
      <c r="G13" s="118">
        <v>-5</v>
      </c>
      <c r="H13" s="118">
        <v>-5</v>
      </c>
      <c r="I13" s="214">
        <f>F13+H13</f>
        <v>42293</v>
      </c>
      <c r="K13" s="219" t="s">
        <v>361</v>
      </c>
      <c r="L13" s="219"/>
      <c r="M13" s="219"/>
      <c r="N13" s="219"/>
      <c r="O13" s="219"/>
    </row>
    <row r="14" spans="2:18" ht="16.8" thickBot="1" x14ac:dyDescent="0.35">
      <c r="B14" s="116" t="s">
        <v>259</v>
      </c>
      <c r="C14" s="122"/>
      <c r="D14" s="123"/>
      <c r="E14" s="124">
        <v>45782</v>
      </c>
      <c r="F14" s="124">
        <v>46757</v>
      </c>
      <c r="G14" s="118">
        <v>-12</v>
      </c>
      <c r="H14" s="118">
        <v>-12</v>
      </c>
      <c r="I14" s="214">
        <f>E14+H14</f>
        <v>45770</v>
      </c>
      <c r="K14" s="219" t="s">
        <v>362</v>
      </c>
      <c r="L14" s="219"/>
      <c r="M14" s="219"/>
      <c r="N14" s="219"/>
      <c r="O14" s="219"/>
    </row>
    <row r="15" spans="2:18" ht="16.2" thickBot="1" x14ac:dyDescent="0.35">
      <c r="B15" s="116" t="s">
        <v>260</v>
      </c>
      <c r="C15" s="122"/>
      <c r="D15" s="122"/>
      <c r="E15" s="122"/>
      <c r="F15" s="122"/>
      <c r="G15" s="122"/>
      <c r="H15" s="122"/>
      <c r="I15" s="122"/>
      <c r="K15" s="219"/>
      <c r="L15" s="219"/>
      <c r="M15" s="219"/>
      <c r="N15" s="219"/>
      <c r="O15" s="219"/>
    </row>
    <row r="16" spans="2:18" ht="16.2" thickBot="1" x14ac:dyDescent="0.35">
      <c r="B16" s="116" t="s">
        <v>261</v>
      </c>
      <c r="C16" s="122"/>
      <c r="D16" s="122"/>
      <c r="E16" s="122"/>
      <c r="F16" s="122"/>
      <c r="G16" s="122"/>
      <c r="H16" s="122"/>
      <c r="I16" s="122"/>
      <c r="K16" s="219"/>
      <c r="L16" s="219"/>
      <c r="M16" s="219"/>
      <c r="N16" s="219"/>
      <c r="O16" s="219"/>
    </row>
    <row r="17" spans="2:15" ht="21.6" thickBot="1" x14ac:dyDescent="0.35">
      <c r="B17" s="116" t="s">
        <v>262</v>
      </c>
      <c r="C17" s="122"/>
      <c r="D17" s="216" t="s">
        <v>358</v>
      </c>
      <c r="E17" s="217"/>
      <c r="F17" s="122"/>
      <c r="G17" s="122"/>
      <c r="H17" s="122"/>
      <c r="I17" s="122"/>
      <c r="K17" s="219"/>
      <c r="L17" s="219"/>
      <c r="M17" s="219"/>
      <c r="N17" s="219"/>
      <c r="O17" s="219"/>
    </row>
    <row r="18" spans="2:15" ht="16.2" thickBot="1" x14ac:dyDescent="0.35">
      <c r="B18" s="116" t="s">
        <v>263</v>
      </c>
      <c r="C18" s="122"/>
      <c r="D18" s="122"/>
      <c r="E18" s="115"/>
      <c r="F18" s="115"/>
      <c r="G18" s="115"/>
      <c r="H18" s="115"/>
      <c r="I18" s="115"/>
      <c r="K18" s="218"/>
      <c r="L18" s="218"/>
      <c r="M18" s="218"/>
      <c r="N18" s="218"/>
      <c r="O18" s="218"/>
    </row>
    <row r="19" spans="2:15" ht="16.8" thickBot="1" x14ac:dyDescent="0.35">
      <c r="B19" s="122"/>
      <c r="C19" s="122"/>
      <c r="D19" s="120"/>
      <c r="E19" s="126" t="s">
        <v>259</v>
      </c>
      <c r="F19" s="126" t="s">
        <v>264</v>
      </c>
      <c r="G19" s="126" t="s">
        <v>265</v>
      </c>
      <c r="H19" s="126" t="s">
        <v>266</v>
      </c>
      <c r="I19" s="120"/>
    </row>
    <row r="20" spans="2:15" ht="16.2" thickBot="1" x14ac:dyDescent="0.35">
      <c r="B20" s="122"/>
      <c r="C20" s="123"/>
      <c r="D20" s="168" t="s">
        <v>267</v>
      </c>
      <c r="E20" s="124">
        <v>44986</v>
      </c>
      <c r="F20" s="124">
        <f>EDATE(E20,G11)</f>
        <v>45047</v>
      </c>
      <c r="G20" s="124">
        <f>EDATE(F20,H11)</f>
        <v>45108</v>
      </c>
      <c r="H20" s="208">
        <v>45047</v>
      </c>
      <c r="I20" s="168" t="s">
        <v>268</v>
      </c>
    </row>
    <row r="21" spans="2:15" ht="16.2" thickBot="1" x14ac:dyDescent="0.35">
      <c r="B21" s="122"/>
      <c r="C21" s="123"/>
      <c r="D21" s="169"/>
      <c r="E21" s="124">
        <v>45512</v>
      </c>
      <c r="F21" s="124">
        <f>EDATE(E21,G12)</f>
        <v>45665</v>
      </c>
      <c r="G21" s="124">
        <f>EDATE(F21,H12)</f>
        <v>45816</v>
      </c>
      <c r="H21" s="208">
        <v>45665</v>
      </c>
      <c r="I21" s="169"/>
    </row>
    <row r="22" spans="2:15" ht="16.2" thickBot="1" x14ac:dyDescent="0.35">
      <c r="B22" s="122"/>
      <c r="C22" s="123"/>
      <c r="D22" s="169"/>
      <c r="E22" s="124">
        <v>42133</v>
      </c>
      <c r="F22" s="124">
        <f>EDATE(E22,G13)</f>
        <v>41982</v>
      </c>
      <c r="G22" s="124">
        <f>EDATE(F22,H13)</f>
        <v>41829</v>
      </c>
      <c r="H22" s="208">
        <v>41982</v>
      </c>
      <c r="I22" s="169"/>
    </row>
    <row r="23" spans="2:15" ht="16.2" thickBot="1" x14ac:dyDescent="0.35">
      <c r="B23" s="122"/>
      <c r="C23" s="123"/>
      <c r="D23" s="170"/>
      <c r="E23" s="124">
        <v>45770</v>
      </c>
      <c r="F23" s="124">
        <f>EDATE(E23,G14)</f>
        <v>45405</v>
      </c>
      <c r="G23" s="124">
        <f>EDATE(F23,H14)</f>
        <v>45039</v>
      </c>
      <c r="H23" s="208">
        <v>45405</v>
      </c>
      <c r="I23" s="170"/>
    </row>
    <row r="24" spans="2:15" ht="15" thickBot="1" x14ac:dyDescent="0.35">
      <c r="B24" s="122"/>
      <c r="C24" s="115"/>
      <c r="D24" s="115"/>
      <c r="E24" s="115"/>
      <c r="F24" s="122"/>
      <c r="G24" s="122"/>
      <c r="H24" s="122"/>
      <c r="I24" s="122"/>
    </row>
    <row r="25" spans="2:15" ht="15" thickBot="1" x14ac:dyDescent="0.35">
      <c r="B25" s="123"/>
      <c r="C25" s="165" t="s">
        <v>269</v>
      </c>
      <c r="D25" s="168" t="s">
        <v>270</v>
      </c>
      <c r="E25" s="208"/>
      <c r="F25" s="122"/>
      <c r="G25" s="115"/>
      <c r="H25" s="122"/>
      <c r="I25" s="122"/>
    </row>
    <row r="26" spans="2:15" ht="16.2" thickBot="1" x14ac:dyDescent="0.35">
      <c r="B26" s="123"/>
      <c r="C26" s="166"/>
      <c r="D26" s="169"/>
      <c r="E26" s="208"/>
      <c r="F26" s="123"/>
      <c r="G26" s="124">
        <v>43983</v>
      </c>
      <c r="H26" s="122"/>
      <c r="I26" s="122"/>
    </row>
    <row r="27" spans="2:15" ht="15" thickBot="1" x14ac:dyDescent="0.35">
      <c r="B27" s="123"/>
      <c r="C27" s="166"/>
      <c r="D27" s="169"/>
      <c r="E27" s="208"/>
      <c r="F27" s="122"/>
      <c r="G27" s="122"/>
      <c r="H27" s="122"/>
      <c r="I27" s="122"/>
    </row>
    <row r="28" spans="2:15" ht="15" thickBot="1" x14ac:dyDescent="0.35">
      <c r="B28" s="123"/>
      <c r="C28" s="167"/>
      <c r="D28" s="170"/>
      <c r="E28" s="208"/>
      <c r="F28" s="122"/>
      <c r="G28" s="122"/>
      <c r="H28" s="122"/>
      <c r="I28" s="122"/>
    </row>
    <row r="29" spans="2:15" ht="15" thickBot="1" x14ac:dyDescent="0.35">
      <c r="B29" s="122"/>
      <c r="C29" s="115"/>
      <c r="D29" s="115"/>
      <c r="E29" s="115"/>
      <c r="F29" s="115"/>
      <c r="G29" s="122"/>
      <c r="H29" s="122"/>
      <c r="I29" s="122"/>
    </row>
    <row r="30" spans="2:15" ht="16.2" thickBot="1" x14ac:dyDescent="0.35">
      <c r="B30" s="123"/>
      <c r="C30" s="165" t="s">
        <v>271</v>
      </c>
      <c r="D30" s="168" t="s">
        <v>257</v>
      </c>
      <c r="E30" s="120"/>
      <c r="F30" s="124"/>
      <c r="G30" s="122"/>
      <c r="H30" s="122"/>
      <c r="I30" s="122"/>
    </row>
    <row r="31" spans="2:15" ht="16.2" thickBot="1" x14ac:dyDescent="0.35">
      <c r="B31" s="123"/>
      <c r="C31" s="166"/>
      <c r="D31" s="169"/>
      <c r="E31" s="120"/>
      <c r="F31" s="124"/>
      <c r="G31" s="122"/>
      <c r="H31" s="122"/>
      <c r="I31" s="122"/>
    </row>
    <row r="32" spans="2:15" ht="16.2" thickBot="1" x14ac:dyDescent="0.35">
      <c r="B32" s="123"/>
      <c r="C32" s="166"/>
      <c r="D32" s="169"/>
      <c r="E32" s="120"/>
      <c r="F32" s="124"/>
      <c r="G32" s="122"/>
      <c r="H32" s="122"/>
      <c r="I32" s="122"/>
    </row>
    <row r="33" spans="2:9" ht="16.2" thickBot="1" x14ac:dyDescent="0.35">
      <c r="B33" s="123"/>
      <c r="C33" s="167"/>
      <c r="D33" s="170"/>
      <c r="E33" s="120"/>
      <c r="F33" s="124"/>
      <c r="G33" s="122"/>
      <c r="H33" s="122"/>
      <c r="I33" s="122"/>
    </row>
    <row r="34" spans="2:9" ht="15" thickBot="1" x14ac:dyDescent="0.35">
      <c r="B34" s="122"/>
      <c r="C34" s="115"/>
      <c r="D34" s="115"/>
      <c r="E34" s="115"/>
      <c r="F34" s="115"/>
      <c r="G34" s="122"/>
      <c r="H34" s="122"/>
      <c r="I34" s="122"/>
    </row>
    <row r="35" spans="2:9" ht="16.2" thickBot="1" x14ac:dyDescent="0.35">
      <c r="B35" s="123"/>
      <c r="C35" s="165" t="s">
        <v>276</v>
      </c>
      <c r="D35" s="168" t="s">
        <v>258</v>
      </c>
      <c r="E35" s="120"/>
      <c r="F35" s="125" t="s">
        <v>272</v>
      </c>
      <c r="G35" s="122"/>
      <c r="H35" s="122"/>
      <c r="I35" s="122"/>
    </row>
    <row r="36" spans="2:9" ht="16.2" thickBot="1" x14ac:dyDescent="0.35">
      <c r="B36" s="123"/>
      <c r="C36" s="166"/>
      <c r="D36" s="169"/>
      <c r="E36" s="120"/>
      <c r="F36" s="125" t="s">
        <v>273</v>
      </c>
      <c r="G36" s="122"/>
      <c r="H36" s="122"/>
      <c r="I36" s="122"/>
    </row>
    <row r="37" spans="2:9" ht="16.2" thickBot="1" x14ac:dyDescent="0.35">
      <c r="B37" s="123"/>
      <c r="C37" s="166"/>
      <c r="D37" s="169"/>
      <c r="E37" s="120"/>
      <c r="F37" s="125" t="s">
        <v>274</v>
      </c>
      <c r="G37" s="122"/>
      <c r="H37" s="122"/>
      <c r="I37" s="122"/>
    </row>
    <row r="38" spans="2:9" ht="16.2" thickBot="1" x14ac:dyDescent="0.35">
      <c r="B38" s="123"/>
      <c r="C38" s="167"/>
      <c r="D38" s="170"/>
      <c r="E38" s="120"/>
      <c r="F38" s="125" t="s">
        <v>275</v>
      </c>
      <c r="G38" s="122"/>
      <c r="H38" s="122"/>
      <c r="I38" s="122"/>
    </row>
    <row r="39" spans="2:9" ht="15" thickBot="1" x14ac:dyDescent="0.35">
      <c r="B39" s="122"/>
      <c r="C39" s="122"/>
      <c r="D39" s="122"/>
      <c r="E39" s="115"/>
      <c r="F39" s="115"/>
      <c r="G39" s="115"/>
      <c r="H39" s="115"/>
      <c r="I39" s="115"/>
    </row>
    <row r="40" spans="2:9" ht="33" thickBot="1" x14ac:dyDescent="0.35">
      <c r="B40" s="122"/>
      <c r="C40" s="122"/>
      <c r="D40" s="120"/>
      <c r="E40" s="127" t="s">
        <v>277</v>
      </c>
      <c r="F40" s="127" t="s">
        <v>252</v>
      </c>
      <c r="G40" s="127" t="s">
        <v>253</v>
      </c>
      <c r="H40" s="127" t="s">
        <v>278</v>
      </c>
      <c r="I40" s="127" t="s">
        <v>279</v>
      </c>
    </row>
    <row r="41" spans="2:9" ht="16.2" thickBot="1" x14ac:dyDescent="0.35">
      <c r="B41" s="122"/>
      <c r="C41" s="123"/>
      <c r="D41" s="168" t="s">
        <v>255</v>
      </c>
      <c r="E41" s="120"/>
      <c r="F41" s="124">
        <v>44927</v>
      </c>
      <c r="G41" s="124">
        <v>45240</v>
      </c>
      <c r="H41" s="120"/>
      <c r="I41" s="120"/>
    </row>
    <row r="42" spans="2:9" ht="16.2" thickBot="1" x14ac:dyDescent="0.35">
      <c r="B42" s="122"/>
      <c r="C42" s="123"/>
      <c r="D42" s="169"/>
      <c r="E42" s="120"/>
      <c r="F42" s="124">
        <v>44776</v>
      </c>
      <c r="G42" s="124">
        <v>45639</v>
      </c>
      <c r="H42" s="120"/>
      <c r="I42" s="120"/>
    </row>
    <row r="43" spans="2:9" ht="16.2" thickBot="1" x14ac:dyDescent="0.35">
      <c r="B43" s="122"/>
      <c r="C43" s="123"/>
      <c r="D43" s="169"/>
      <c r="E43" s="120"/>
      <c r="F43" s="124">
        <v>42348</v>
      </c>
      <c r="G43" s="124">
        <v>42664</v>
      </c>
      <c r="H43" s="120"/>
      <c r="I43" s="120"/>
    </row>
    <row r="44" spans="2:9" ht="16.2" thickBot="1" x14ac:dyDescent="0.35">
      <c r="B44" s="122"/>
      <c r="C44" s="123"/>
      <c r="D44" s="170"/>
      <c r="E44" s="120"/>
      <c r="F44" s="124">
        <v>45417</v>
      </c>
      <c r="G44" s="124">
        <v>46757</v>
      </c>
      <c r="H44" s="120"/>
      <c r="I44" s="120"/>
    </row>
    <row r="45" spans="2:9" ht="15" thickBot="1" x14ac:dyDescent="0.35">
      <c r="B45" s="122"/>
      <c r="C45" s="122"/>
      <c r="D45" s="115"/>
      <c r="E45" s="115"/>
      <c r="F45" s="115"/>
      <c r="G45" s="115"/>
      <c r="H45" s="122"/>
      <c r="I45" s="122"/>
    </row>
    <row r="46" spans="2:9" ht="16.8" thickBot="1" x14ac:dyDescent="0.35">
      <c r="B46" s="122"/>
      <c r="C46" s="123"/>
      <c r="D46" s="119" t="s">
        <v>280</v>
      </c>
      <c r="E46" s="125" t="s">
        <v>281</v>
      </c>
      <c r="F46" s="120"/>
      <c r="G46" s="168" t="s">
        <v>282</v>
      </c>
      <c r="H46" s="115"/>
      <c r="I46" s="115"/>
    </row>
    <row r="47" spans="2:9" ht="16.8" thickBot="1" x14ac:dyDescent="0.35">
      <c r="B47" s="122"/>
      <c r="C47" s="123"/>
      <c r="D47" s="118" t="s">
        <v>283</v>
      </c>
      <c r="E47" s="125" t="s">
        <v>264</v>
      </c>
      <c r="F47" s="120"/>
      <c r="G47" s="169"/>
      <c r="H47" s="119" t="s">
        <v>284</v>
      </c>
      <c r="I47" s="119" t="s">
        <v>285</v>
      </c>
    </row>
    <row r="48" spans="2:9" ht="16.2" thickBot="1" x14ac:dyDescent="0.35">
      <c r="B48" s="122"/>
      <c r="C48" s="122"/>
      <c r="D48" s="123"/>
      <c r="E48" s="125" t="s">
        <v>259</v>
      </c>
      <c r="F48" s="120"/>
      <c r="G48" s="170"/>
      <c r="H48" s="122"/>
      <c r="I48" s="122"/>
    </row>
    <row r="49" spans="2:9" ht="15" thickBot="1" x14ac:dyDescent="0.35">
      <c r="B49" s="122"/>
      <c r="C49" s="122"/>
      <c r="D49" s="122"/>
      <c r="E49" s="122"/>
      <c r="F49" s="122"/>
      <c r="G49" s="122"/>
      <c r="H49" s="122"/>
      <c r="I49" s="122"/>
    </row>
    <row r="50" spans="2:9" ht="15" thickBot="1" x14ac:dyDescent="0.35">
      <c r="B50" s="115"/>
      <c r="C50" s="115"/>
      <c r="D50" s="115"/>
      <c r="E50" s="115"/>
      <c r="F50" s="115"/>
      <c r="G50" s="115"/>
      <c r="H50" s="115"/>
      <c r="I50" s="115"/>
    </row>
    <row r="51" spans="2:9" ht="16.8" thickBot="1" x14ac:dyDescent="0.35">
      <c r="B51" s="171" t="s">
        <v>286</v>
      </c>
      <c r="C51" s="172"/>
      <c r="D51" s="172"/>
      <c r="E51" s="172"/>
      <c r="F51" s="172"/>
      <c r="G51" s="172"/>
      <c r="H51" s="173"/>
      <c r="I51" s="174" t="s">
        <v>287</v>
      </c>
    </row>
    <row r="52" spans="2:9" ht="16.2" thickBot="1" x14ac:dyDescent="0.35">
      <c r="B52" s="128" t="s">
        <v>252</v>
      </c>
      <c r="C52" s="124">
        <v>43862</v>
      </c>
      <c r="D52" s="124">
        <v>43862</v>
      </c>
      <c r="E52" s="124">
        <v>43862</v>
      </c>
      <c r="F52" s="124">
        <v>43862</v>
      </c>
      <c r="G52" s="124">
        <v>43862</v>
      </c>
      <c r="H52" s="124">
        <v>43862</v>
      </c>
      <c r="I52" s="175"/>
    </row>
    <row r="53" spans="2:9" ht="16.2" thickBot="1" x14ac:dyDescent="0.35">
      <c r="B53" s="128" t="s">
        <v>253</v>
      </c>
      <c r="C53" s="124">
        <v>44208</v>
      </c>
      <c r="D53" s="124">
        <v>44208</v>
      </c>
      <c r="E53" s="124">
        <v>44208</v>
      </c>
      <c r="F53" s="124">
        <v>44208</v>
      </c>
      <c r="G53" s="124">
        <v>44208</v>
      </c>
      <c r="H53" s="124">
        <v>44208</v>
      </c>
      <c r="I53" s="175"/>
    </row>
    <row r="54" spans="2:9" ht="16.8" thickBot="1" x14ac:dyDescent="0.35">
      <c r="B54" s="128" t="s">
        <v>288</v>
      </c>
      <c r="C54" s="118" t="s">
        <v>235</v>
      </c>
      <c r="D54" s="118" t="s">
        <v>237</v>
      </c>
      <c r="E54" s="118" t="s">
        <v>242</v>
      </c>
      <c r="F54" s="118" t="s">
        <v>289</v>
      </c>
      <c r="G54" s="118" t="s">
        <v>290</v>
      </c>
      <c r="H54" s="118" t="s">
        <v>291</v>
      </c>
      <c r="I54" s="175"/>
    </row>
    <row r="55" spans="2:9" ht="16.8" thickBot="1" x14ac:dyDescent="0.35">
      <c r="B55" s="129" t="s">
        <v>292</v>
      </c>
      <c r="C55" s="120"/>
      <c r="D55" s="120"/>
      <c r="E55" s="120"/>
      <c r="F55" s="120"/>
      <c r="G55" s="120"/>
      <c r="H55" s="120"/>
      <c r="I55" s="176"/>
    </row>
    <row r="56" spans="2:9" ht="15" thickBot="1" x14ac:dyDescent="0.35">
      <c r="B56" s="115"/>
      <c r="C56" s="115"/>
      <c r="D56" s="122"/>
      <c r="E56" s="122"/>
      <c r="F56" s="122"/>
      <c r="G56" s="122"/>
      <c r="H56" s="122"/>
      <c r="I56" s="122"/>
    </row>
    <row r="57" spans="2:9" ht="65.400000000000006" thickBot="1" x14ac:dyDescent="0.35">
      <c r="B57" s="130" t="s">
        <v>235</v>
      </c>
      <c r="C57" s="131" t="s">
        <v>293</v>
      </c>
      <c r="D57" s="122"/>
      <c r="E57" s="115"/>
      <c r="F57" s="115"/>
      <c r="G57" s="115"/>
      <c r="H57" s="115"/>
      <c r="I57" s="122"/>
    </row>
    <row r="58" spans="2:9" ht="81.599999999999994" thickBot="1" x14ac:dyDescent="0.35">
      <c r="B58" s="130" t="s">
        <v>237</v>
      </c>
      <c r="C58" s="131" t="s">
        <v>294</v>
      </c>
      <c r="D58" s="123"/>
      <c r="E58" s="132" t="s">
        <v>252</v>
      </c>
      <c r="F58" s="132" t="s">
        <v>253</v>
      </c>
      <c r="G58" s="133" t="s">
        <v>295</v>
      </c>
      <c r="H58" s="133" t="s">
        <v>296</v>
      </c>
      <c r="I58" s="115"/>
    </row>
    <row r="59" spans="2:9" ht="65.400000000000006" thickBot="1" x14ac:dyDescent="0.35">
      <c r="B59" s="130" t="s">
        <v>242</v>
      </c>
      <c r="C59" s="131" t="s">
        <v>297</v>
      </c>
      <c r="D59" s="123"/>
      <c r="E59" s="124">
        <v>44927</v>
      </c>
      <c r="F59" s="124">
        <v>45291</v>
      </c>
      <c r="G59" s="120"/>
      <c r="H59" s="120"/>
      <c r="I59" s="157" t="s">
        <v>262</v>
      </c>
    </row>
    <row r="60" spans="2:9" ht="130.19999999999999" thickBot="1" x14ac:dyDescent="0.35">
      <c r="B60" s="130" t="s">
        <v>289</v>
      </c>
      <c r="C60" s="131" t="s">
        <v>298</v>
      </c>
      <c r="D60" s="123"/>
      <c r="E60" s="124">
        <v>45292</v>
      </c>
      <c r="F60" s="124">
        <v>45657</v>
      </c>
      <c r="G60" s="120"/>
      <c r="H60" s="120"/>
      <c r="I60" s="158"/>
    </row>
    <row r="61" spans="2:9" ht="146.4" thickBot="1" x14ac:dyDescent="0.35">
      <c r="B61" s="130" t="s">
        <v>290</v>
      </c>
      <c r="C61" s="131" t="s">
        <v>299</v>
      </c>
      <c r="D61" s="123"/>
      <c r="E61" s="124">
        <v>42005</v>
      </c>
      <c r="F61" s="124">
        <v>42369</v>
      </c>
      <c r="G61" s="120"/>
      <c r="H61" s="120"/>
      <c r="I61" s="159" t="s">
        <v>263</v>
      </c>
    </row>
    <row r="62" spans="2:9" ht="97.8" thickBot="1" x14ac:dyDescent="0.35">
      <c r="B62" s="130" t="s">
        <v>291</v>
      </c>
      <c r="C62" s="131" t="s">
        <v>300</v>
      </c>
      <c r="D62" s="123"/>
      <c r="E62" s="134">
        <v>45658</v>
      </c>
      <c r="F62" s="134">
        <v>46022</v>
      </c>
      <c r="G62" s="120"/>
      <c r="H62" s="120"/>
      <c r="I62" s="160"/>
    </row>
    <row r="63" spans="2:9" ht="15" thickBot="1" x14ac:dyDescent="0.35">
      <c r="B63" s="122"/>
      <c r="C63" s="122"/>
      <c r="D63" s="122"/>
      <c r="E63" s="122"/>
      <c r="F63" s="122"/>
      <c r="G63" s="122"/>
      <c r="H63" s="122"/>
      <c r="I63" s="122"/>
    </row>
    <row r="64" spans="2:9" ht="15" thickBot="1" x14ac:dyDescent="0.35">
      <c r="B64" s="115"/>
      <c r="C64" s="122"/>
      <c r="D64" s="122"/>
      <c r="E64" s="122"/>
      <c r="F64" s="122"/>
      <c r="G64" s="122"/>
      <c r="H64" s="122"/>
      <c r="I64" s="122"/>
    </row>
    <row r="65" spans="2:9" ht="15" thickBot="1" x14ac:dyDescent="0.35">
      <c r="B65" s="135"/>
      <c r="C65" s="122"/>
      <c r="D65" s="115"/>
      <c r="E65" s="115"/>
      <c r="F65" s="115"/>
      <c r="G65" s="115"/>
      <c r="H65" s="115"/>
      <c r="I65" s="115"/>
    </row>
    <row r="66" spans="2:9" ht="31.8" thickBot="1" x14ac:dyDescent="0.35">
      <c r="B66" s="135"/>
      <c r="C66" s="123"/>
      <c r="D66" s="134">
        <v>44952</v>
      </c>
      <c r="E66" s="136" t="s">
        <v>301</v>
      </c>
      <c r="F66" s="161" t="s">
        <v>302</v>
      </c>
      <c r="G66" s="137">
        <v>42052</v>
      </c>
      <c r="H66" s="138" t="s">
        <v>303</v>
      </c>
      <c r="I66" s="159" t="s">
        <v>304</v>
      </c>
    </row>
    <row r="67" spans="2:9" ht="31.8" thickBot="1" x14ac:dyDescent="0.35">
      <c r="B67" s="135"/>
      <c r="C67" s="123"/>
      <c r="D67" s="124">
        <v>45153</v>
      </c>
      <c r="E67" s="125" t="s">
        <v>305</v>
      </c>
      <c r="F67" s="162"/>
      <c r="G67" s="137">
        <v>42189</v>
      </c>
      <c r="H67" s="138" t="s">
        <v>305</v>
      </c>
      <c r="I67" s="164"/>
    </row>
    <row r="68" spans="2:9" ht="16.2" thickBot="1" x14ac:dyDescent="0.35">
      <c r="B68" s="135"/>
      <c r="C68" s="123"/>
      <c r="D68" s="134">
        <v>45201</v>
      </c>
      <c r="E68" s="136" t="s">
        <v>306</v>
      </c>
      <c r="F68" s="162"/>
      <c r="G68" s="137">
        <v>42248</v>
      </c>
      <c r="H68" s="138" t="s">
        <v>307</v>
      </c>
      <c r="I68" s="160"/>
    </row>
    <row r="69" spans="2:9" ht="31.8" thickBot="1" x14ac:dyDescent="0.35">
      <c r="B69" s="122"/>
      <c r="C69" s="123"/>
      <c r="D69" s="134">
        <v>45317</v>
      </c>
      <c r="E69" s="136" t="s">
        <v>301</v>
      </c>
      <c r="F69" s="162"/>
      <c r="G69" s="137">
        <v>45705</v>
      </c>
      <c r="H69" s="138" t="s">
        <v>303</v>
      </c>
      <c r="I69" s="122"/>
    </row>
    <row r="70" spans="2:9" ht="31.8" thickBot="1" x14ac:dyDescent="0.35">
      <c r="B70" s="122"/>
      <c r="C70" s="123"/>
      <c r="D70" s="124">
        <v>45519</v>
      </c>
      <c r="E70" s="125" t="s">
        <v>305</v>
      </c>
      <c r="F70" s="162"/>
      <c r="G70" s="137">
        <v>45842</v>
      </c>
      <c r="H70" s="138" t="s">
        <v>305</v>
      </c>
      <c r="I70" s="122"/>
    </row>
    <row r="71" spans="2:9" ht="16.2" thickBot="1" x14ac:dyDescent="0.35">
      <c r="B71" s="122"/>
      <c r="C71" s="123"/>
      <c r="D71" s="134">
        <v>45567</v>
      </c>
      <c r="E71" s="136" t="s">
        <v>306</v>
      </c>
      <c r="F71" s="162"/>
      <c r="G71" s="137">
        <v>45901</v>
      </c>
      <c r="H71" s="138" t="s">
        <v>307</v>
      </c>
      <c r="I71" s="122"/>
    </row>
    <row r="72" spans="2:9" ht="16.2" thickBot="1" x14ac:dyDescent="0.35">
      <c r="B72" s="122"/>
      <c r="C72" s="123"/>
      <c r="D72" s="134">
        <v>42030</v>
      </c>
      <c r="E72" s="136" t="s">
        <v>301</v>
      </c>
      <c r="F72" s="162"/>
      <c r="G72" s="122"/>
      <c r="H72" s="122"/>
      <c r="I72" s="122"/>
    </row>
    <row r="73" spans="2:9" ht="16.2" thickBot="1" x14ac:dyDescent="0.35">
      <c r="B73" s="122"/>
      <c r="C73" s="123"/>
      <c r="D73" s="124">
        <v>42231</v>
      </c>
      <c r="E73" s="125" t="s">
        <v>305</v>
      </c>
      <c r="F73" s="162"/>
      <c r="G73" s="122"/>
      <c r="H73" s="122"/>
      <c r="I73" s="122"/>
    </row>
    <row r="74" spans="2:9" ht="16.2" thickBot="1" x14ac:dyDescent="0.35">
      <c r="B74" s="122"/>
      <c r="C74" s="123"/>
      <c r="D74" s="134">
        <v>42279</v>
      </c>
      <c r="E74" s="136" t="s">
        <v>306</v>
      </c>
      <c r="F74" s="163"/>
      <c r="G74" s="122"/>
      <c r="H74" s="122"/>
      <c r="I74" s="122"/>
    </row>
  </sheetData>
  <mergeCells count="25">
    <mergeCell ref="D17:E17"/>
    <mergeCell ref="K11:O11"/>
    <mergeCell ref="K12:O12"/>
    <mergeCell ref="K13:O13"/>
    <mergeCell ref="K14:O14"/>
    <mergeCell ref="K15:O15"/>
    <mergeCell ref="K16:O16"/>
    <mergeCell ref="K17:O17"/>
    <mergeCell ref="K18:O18"/>
    <mergeCell ref="D20:D23"/>
    <mergeCell ref="I20:I23"/>
    <mergeCell ref="C25:C28"/>
    <mergeCell ref="D25:D28"/>
    <mergeCell ref="C30:C33"/>
    <mergeCell ref="D30:D33"/>
    <mergeCell ref="I59:I60"/>
    <mergeCell ref="I61:I62"/>
    <mergeCell ref="F66:F74"/>
    <mergeCell ref="I66:I68"/>
    <mergeCell ref="C35:C38"/>
    <mergeCell ref="D35:D38"/>
    <mergeCell ref="D41:D44"/>
    <mergeCell ref="G46:G48"/>
    <mergeCell ref="B51:H51"/>
    <mergeCell ref="I51:I5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8914C-9845-4A64-B7C3-9EF16FF449A2}">
  <dimension ref="B1:L35"/>
  <sheetViews>
    <sheetView workbookViewId="0">
      <selection activeCell="C14" sqref="C14:C15"/>
    </sheetView>
  </sheetViews>
  <sheetFormatPr defaultRowHeight="14.4" x14ac:dyDescent="0.3"/>
  <cols>
    <col min="2" max="2" width="13.6640625" customWidth="1"/>
    <col min="3" max="3" width="16" customWidth="1"/>
    <col min="4" max="4" width="18.21875" customWidth="1"/>
    <col min="5" max="5" width="22.109375" customWidth="1"/>
    <col min="6" max="6" width="13" customWidth="1"/>
    <col min="9" max="9" width="25.6640625" customWidth="1"/>
    <col min="12" max="12" width="15.44140625" customWidth="1"/>
  </cols>
  <sheetData>
    <row r="1" spans="2:12" ht="42.6" customHeight="1" thickBot="1" x14ac:dyDescent="0.35"/>
    <row r="2" spans="2:12" ht="54.6" thickBot="1" x14ac:dyDescent="0.35">
      <c r="B2" s="139" t="s">
        <v>168</v>
      </c>
      <c r="C2" s="140" t="s">
        <v>308</v>
      </c>
      <c r="D2" s="140" t="s">
        <v>309</v>
      </c>
      <c r="E2" s="140" t="s">
        <v>310</v>
      </c>
      <c r="F2" s="115"/>
      <c r="G2" s="122"/>
      <c r="H2" s="115"/>
      <c r="I2" s="115"/>
      <c r="J2" s="115"/>
      <c r="K2" s="141"/>
      <c r="L2" s="141"/>
    </row>
    <row r="3" spans="2:12" ht="17.399999999999999" customHeight="1" thickBot="1" x14ac:dyDescent="0.35">
      <c r="B3" s="128">
        <v>1</v>
      </c>
      <c r="C3" s="138" t="s">
        <v>223</v>
      </c>
      <c r="D3" s="138">
        <v>200</v>
      </c>
      <c r="E3" s="125" t="s">
        <v>311</v>
      </c>
      <c r="F3" s="196" t="s">
        <v>312</v>
      </c>
      <c r="G3" s="123"/>
      <c r="H3" s="159" t="s">
        <v>313</v>
      </c>
      <c r="I3" s="125" t="s">
        <v>314</v>
      </c>
      <c r="J3" s="199" t="s">
        <v>315</v>
      </c>
      <c r="K3" s="141"/>
      <c r="L3" s="141"/>
    </row>
    <row r="4" spans="2:12" ht="21.6" customHeight="1" thickBot="1" x14ac:dyDescent="0.35">
      <c r="B4" s="128">
        <v>2</v>
      </c>
      <c r="C4" s="138" t="s">
        <v>224</v>
      </c>
      <c r="D4" s="138">
        <v>180</v>
      </c>
      <c r="E4" s="125" t="s">
        <v>311</v>
      </c>
      <c r="F4" s="197"/>
      <c r="G4" s="123"/>
      <c r="H4" s="164"/>
      <c r="I4" s="125" t="s">
        <v>314</v>
      </c>
      <c r="J4" s="200"/>
      <c r="K4" s="141"/>
      <c r="L4" s="142"/>
    </row>
    <row r="5" spans="2:12" ht="21" customHeight="1" thickBot="1" x14ac:dyDescent="0.35">
      <c r="B5" s="128">
        <v>3</v>
      </c>
      <c r="C5" s="138" t="s">
        <v>316</v>
      </c>
      <c r="D5" s="138">
        <v>140</v>
      </c>
      <c r="E5" s="125" t="s">
        <v>317</v>
      </c>
      <c r="F5" s="197"/>
      <c r="G5" s="123"/>
      <c r="H5" s="160"/>
      <c r="I5" s="125" t="s">
        <v>318</v>
      </c>
      <c r="J5" s="200"/>
      <c r="K5" s="143"/>
      <c r="L5" s="118" t="s">
        <v>319</v>
      </c>
    </row>
    <row r="6" spans="2:12" ht="18.600000000000001" customHeight="1" thickBot="1" x14ac:dyDescent="0.35">
      <c r="B6" s="128">
        <v>4</v>
      </c>
      <c r="C6" s="144" t="s">
        <v>242</v>
      </c>
      <c r="D6" s="144">
        <v>120</v>
      </c>
      <c r="E6" s="125" t="s">
        <v>317</v>
      </c>
      <c r="F6" s="197"/>
      <c r="G6" s="122"/>
      <c r="H6" s="120"/>
      <c r="I6" s="120"/>
      <c r="J6" s="200"/>
      <c r="K6" s="143"/>
      <c r="L6" s="118" t="s">
        <v>320</v>
      </c>
    </row>
    <row r="7" spans="2:12" ht="20.399999999999999" customHeight="1" thickBot="1" x14ac:dyDescent="0.35">
      <c r="B7" s="128">
        <v>5</v>
      </c>
      <c r="C7" s="144" t="s">
        <v>321</v>
      </c>
      <c r="D7" s="144">
        <v>140</v>
      </c>
      <c r="E7" s="125" t="s">
        <v>317</v>
      </c>
      <c r="F7" s="197"/>
      <c r="G7" s="123"/>
      <c r="H7" s="168" t="s">
        <v>322</v>
      </c>
      <c r="I7" s="125" t="s">
        <v>323</v>
      </c>
      <c r="J7" s="200"/>
      <c r="K7" s="143"/>
      <c r="L7" s="120"/>
    </row>
    <row r="8" spans="2:12" ht="18" customHeight="1" thickBot="1" x14ac:dyDescent="0.35">
      <c r="B8" s="128">
        <v>6</v>
      </c>
      <c r="C8" s="144" t="s">
        <v>324</v>
      </c>
      <c r="D8" s="144">
        <v>190</v>
      </c>
      <c r="E8" s="125" t="s">
        <v>311</v>
      </c>
      <c r="F8" s="197"/>
      <c r="G8" s="123"/>
      <c r="H8" s="169"/>
      <c r="I8" s="125" t="s">
        <v>323</v>
      </c>
      <c r="J8" s="200"/>
      <c r="K8" s="141"/>
      <c r="L8" s="141"/>
    </row>
    <row r="9" spans="2:12" ht="15" customHeight="1" thickBot="1" x14ac:dyDescent="0.35">
      <c r="B9" s="128">
        <v>7</v>
      </c>
      <c r="C9" s="125" t="s">
        <v>325</v>
      </c>
      <c r="D9" s="125">
        <v>200</v>
      </c>
      <c r="E9" s="125" t="s">
        <v>311</v>
      </c>
      <c r="F9" s="197"/>
      <c r="G9" s="123"/>
      <c r="H9" s="170"/>
      <c r="I9" s="125" t="s">
        <v>323</v>
      </c>
      <c r="J9" s="200"/>
      <c r="K9" s="141"/>
      <c r="L9" s="141"/>
    </row>
    <row r="10" spans="2:12" ht="16.2" thickBot="1" x14ac:dyDescent="0.35">
      <c r="B10" s="128">
        <v>8</v>
      </c>
      <c r="C10" s="125" t="s">
        <v>326</v>
      </c>
      <c r="D10" s="125">
        <v>90</v>
      </c>
      <c r="E10" s="125" t="s">
        <v>317</v>
      </c>
      <c r="F10" s="197"/>
      <c r="G10" s="122"/>
      <c r="H10" s="115"/>
      <c r="I10" s="145"/>
      <c r="J10" s="200"/>
      <c r="K10" s="141"/>
      <c r="L10" s="141"/>
    </row>
    <row r="11" spans="2:12" ht="16.2" thickBot="1" x14ac:dyDescent="0.35">
      <c r="B11" s="128">
        <v>9</v>
      </c>
      <c r="C11" s="125" t="s">
        <v>327</v>
      </c>
      <c r="D11" s="125">
        <v>150</v>
      </c>
      <c r="E11" s="125" t="s">
        <v>317</v>
      </c>
      <c r="F11" s="197"/>
      <c r="G11" s="123"/>
      <c r="H11" s="202" t="s">
        <v>328</v>
      </c>
      <c r="I11" s="120"/>
      <c r="J11" s="200"/>
      <c r="K11" s="141"/>
      <c r="L11" s="141"/>
    </row>
    <row r="12" spans="2:12" ht="16.2" thickBot="1" x14ac:dyDescent="0.35">
      <c r="B12" s="128">
        <v>10</v>
      </c>
      <c r="C12" s="125" t="s">
        <v>329</v>
      </c>
      <c r="D12" s="125">
        <v>200</v>
      </c>
      <c r="E12" s="125" t="s">
        <v>311</v>
      </c>
      <c r="F12" s="197"/>
      <c r="G12" s="123"/>
      <c r="H12" s="203"/>
      <c r="I12" s="120"/>
      <c r="J12" s="200"/>
      <c r="K12" s="141"/>
      <c r="L12" s="141"/>
    </row>
    <row r="13" spans="2:12" ht="16.2" thickBot="1" x14ac:dyDescent="0.35">
      <c r="B13" s="128">
        <v>11</v>
      </c>
      <c r="C13" s="125" t="s">
        <v>330</v>
      </c>
      <c r="D13" s="125">
        <v>170</v>
      </c>
      <c r="E13" s="125" t="s">
        <v>317</v>
      </c>
      <c r="F13" s="197"/>
      <c r="G13" s="123"/>
      <c r="H13" s="204"/>
      <c r="I13" s="120"/>
      <c r="J13" s="201"/>
      <c r="K13" s="141"/>
      <c r="L13" s="141"/>
    </row>
    <row r="14" spans="2:12" ht="19.2" thickBot="1" x14ac:dyDescent="0.35">
      <c r="B14" s="128">
        <v>12</v>
      </c>
      <c r="C14" s="125" t="s">
        <v>331</v>
      </c>
      <c r="D14" s="125">
        <v>180</v>
      </c>
      <c r="E14" s="125" t="s">
        <v>311</v>
      </c>
      <c r="F14" s="197"/>
      <c r="G14" s="123"/>
      <c r="H14" s="205" t="s">
        <v>287</v>
      </c>
      <c r="I14" s="206"/>
      <c r="J14" s="122"/>
      <c r="K14" s="141"/>
      <c r="L14" s="141"/>
    </row>
    <row r="15" spans="2:12" ht="16.2" thickBot="1" x14ac:dyDescent="0.35">
      <c r="B15" s="128">
        <v>13</v>
      </c>
      <c r="C15" s="125" t="s">
        <v>237</v>
      </c>
      <c r="D15" s="125">
        <v>190</v>
      </c>
      <c r="E15" s="125" t="s">
        <v>311</v>
      </c>
      <c r="F15" s="197"/>
      <c r="G15" s="122"/>
      <c r="H15" s="122"/>
      <c r="I15" s="122"/>
      <c r="J15" s="122"/>
      <c r="K15" s="141"/>
      <c r="L15" s="141"/>
    </row>
    <row r="16" spans="2:12" ht="16.2" thickBot="1" x14ac:dyDescent="0.35">
      <c r="B16" s="128">
        <v>14</v>
      </c>
      <c r="C16" s="125" t="s">
        <v>332</v>
      </c>
      <c r="D16" s="125">
        <v>160</v>
      </c>
      <c r="E16" s="125" t="s">
        <v>317</v>
      </c>
      <c r="F16" s="197"/>
      <c r="G16" s="122"/>
      <c r="H16" s="122"/>
      <c r="I16" s="122"/>
      <c r="J16" s="122"/>
      <c r="K16" s="141"/>
      <c r="L16" s="141"/>
    </row>
    <row r="17" spans="2:12" ht="16.2" thickBot="1" x14ac:dyDescent="0.35">
      <c r="B17" s="128">
        <v>15</v>
      </c>
      <c r="C17" s="125" t="s">
        <v>333</v>
      </c>
      <c r="D17" s="125">
        <v>100</v>
      </c>
      <c r="E17" s="125" t="s">
        <v>317</v>
      </c>
      <c r="F17" s="197"/>
      <c r="G17" s="122"/>
      <c r="H17" s="122"/>
      <c r="I17" s="122"/>
      <c r="J17" s="122"/>
      <c r="K17" s="141"/>
      <c r="L17" s="141"/>
    </row>
    <row r="18" spans="2:12" ht="16.2" thickBot="1" x14ac:dyDescent="0.35">
      <c r="B18" s="128">
        <v>16</v>
      </c>
      <c r="C18" s="125" t="s">
        <v>334</v>
      </c>
      <c r="D18" s="125">
        <v>140</v>
      </c>
      <c r="E18" s="125" t="s">
        <v>317</v>
      </c>
      <c r="F18" s="197"/>
      <c r="G18" s="122"/>
      <c r="H18" s="122"/>
      <c r="I18" s="122"/>
      <c r="J18" s="122"/>
      <c r="K18" s="141"/>
      <c r="L18" s="141"/>
    </row>
    <row r="19" spans="2:12" ht="16.2" thickBot="1" x14ac:dyDescent="0.35">
      <c r="B19" s="128">
        <v>17</v>
      </c>
      <c r="C19" s="125" t="s">
        <v>335</v>
      </c>
      <c r="D19" s="125">
        <v>130</v>
      </c>
      <c r="E19" s="125" t="s">
        <v>317</v>
      </c>
      <c r="F19" s="197"/>
      <c r="G19" s="122"/>
      <c r="H19" s="122"/>
      <c r="I19" s="122"/>
      <c r="J19" s="122"/>
      <c r="K19" s="141"/>
      <c r="L19" s="141"/>
    </row>
    <row r="20" spans="2:12" ht="16.2" thickBot="1" x14ac:dyDescent="0.35">
      <c r="B20" s="128">
        <v>18</v>
      </c>
      <c r="C20" s="125" t="s">
        <v>336</v>
      </c>
      <c r="D20" s="125">
        <v>200</v>
      </c>
      <c r="E20" s="125" t="s">
        <v>311</v>
      </c>
      <c r="F20" s="197"/>
      <c r="G20" s="122"/>
      <c r="H20" s="122"/>
      <c r="I20" s="122"/>
      <c r="J20" s="122"/>
      <c r="K20" s="141"/>
      <c r="L20" s="141"/>
    </row>
    <row r="21" spans="2:12" ht="16.2" thickBot="1" x14ac:dyDescent="0.35">
      <c r="B21" s="128">
        <v>19</v>
      </c>
      <c r="C21" s="125" t="s">
        <v>337</v>
      </c>
      <c r="D21" s="125">
        <v>150</v>
      </c>
      <c r="E21" s="125" t="s">
        <v>317</v>
      </c>
      <c r="F21" s="198"/>
      <c r="G21" s="122"/>
      <c r="H21" s="122"/>
      <c r="I21" s="122"/>
      <c r="J21" s="122"/>
      <c r="K21" s="141"/>
      <c r="L21" s="141"/>
    </row>
    <row r="22" spans="2:12" ht="16.2" thickBot="1" x14ac:dyDescent="0.35">
      <c r="B22" s="128">
        <v>20</v>
      </c>
      <c r="C22" s="125" t="s">
        <v>338</v>
      </c>
      <c r="D22" s="125">
        <v>120</v>
      </c>
      <c r="E22" s="125" t="s">
        <v>317</v>
      </c>
      <c r="F22" s="196" t="s">
        <v>312</v>
      </c>
      <c r="G22" s="122"/>
      <c r="H22" s="122"/>
      <c r="I22" s="122"/>
      <c r="J22" s="122"/>
      <c r="K22" s="141"/>
      <c r="L22" s="141"/>
    </row>
    <row r="23" spans="2:12" ht="16.2" thickBot="1" x14ac:dyDescent="0.35">
      <c r="B23" s="128">
        <v>21</v>
      </c>
      <c r="C23" s="125" t="s">
        <v>339</v>
      </c>
      <c r="D23" s="125">
        <v>140</v>
      </c>
      <c r="E23" s="125" t="s">
        <v>317</v>
      </c>
      <c r="F23" s="197"/>
      <c r="G23" s="122"/>
      <c r="H23" s="122"/>
      <c r="I23" s="122"/>
      <c r="J23" s="122"/>
      <c r="K23" s="141"/>
      <c r="L23" s="141"/>
    </row>
    <row r="24" spans="2:12" ht="16.2" thickBot="1" x14ac:dyDescent="0.35">
      <c r="B24" s="128">
        <v>22</v>
      </c>
      <c r="C24" s="125" t="s">
        <v>340</v>
      </c>
      <c r="D24" s="125">
        <v>80</v>
      </c>
      <c r="E24" s="125" t="s">
        <v>317</v>
      </c>
      <c r="F24" s="197"/>
      <c r="G24" s="122"/>
      <c r="H24" s="122"/>
      <c r="I24" s="122"/>
      <c r="J24" s="122"/>
      <c r="K24" s="141"/>
      <c r="L24" s="141"/>
    </row>
    <row r="25" spans="2:12" ht="16.2" thickBot="1" x14ac:dyDescent="0.35">
      <c r="B25" s="128">
        <v>23</v>
      </c>
      <c r="C25" s="125" t="s">
        <v>341</v>
      </c>
      <c r="D25" s="125">
        <v>130</v>
      </c>
      <c r="E25" s="125" t="s">
        <v>317</v>
      </c>
      <c r="F25" s="197"/>
      <c r="G25" s="122"/>
      <c r="H25" s="122"/>
      <c r="I25" s="122"/>
      <c r="J25" s="122"/>
      <c r="K25" s="141"/>
      <c r="L25" s="141"/>
    </row>
    <row r="26" spans="2:12" ht="16.2" thickBot="1" x14ac:dyDescent="0.35">
      <c r="B26" s="128">
        <v>24</v>
      </c>
      <c r="C26" s="125" t="s">
        <v>342</v>
      </c>
      <c r="D26" s="125">
        <v>190</v>
      </c>
      <c r="E26" s="125" t="s">
        <v>311</v>
      </c>
      <c r="F26" s="197"/>
      <c r="G26" s="122"/>
      <c r="H26" s="122"/>
      <c r="I26" s="122"/>
      <c r="J26" s="122"/>
      <c r="K26" s="141"/>
      <c r="L26" s="141"/>
    </row>
    <row r="27" spans="2:12" ht="16.2" thickBot="1" x14ac:dyDescent="0.35">
      <c r="B27" s="128">
        <v>25</v>
      </c>
      <c r="C27" s="125" t="s">
        <v>235</v>
      </c>
      <c r="D27" s="125">
        <v>190</v>
      </c>
      <c r="E27" s="125" t="s">
        <v>311</v>
      </c>
      <c r="F27" s="197"/>
      <c r="G27" s="122"/>
      <c r="H27" s="122"/>
      <c r="I27" s="122"/>
      <c r="J27" s="122"/>
      <c r="K27" s="141"/>
      <c r="L27" s="141"/>
    </row>
    <row r="28" spans="2:12" ht="16.2" thickBot="1" x14ac:dyDescent="0.35">
      <c r="B28" s="128">
        <v>26</v>
      </c>
      <c r="C28" s="125" t="s">
        <v>343</v>
      </c>
      <c r="D28" s="125">
        <v>150</v>
      </c>
      <c r="E28" s="125" t="s">
        <v>317</v>
      </c>
      <c r="F28" s="197"/>
      <c r="G28" s="122"/>
      <c r="H28" s="122"/>
      <c r="I28" s="122"/>
      <c r="J28" s="122"/>
      <c r="K28" s="141"/>
      <c r="L28" s="141"/>
    </row>
    <row r="29" spans="2:12" ht="16.2" thickBot="1" x14ac:dyDescent="0.35">
      <c r="B29" s="128">
        <v>27</v>
      </c>
      <c r="C29" s="125" t="s">
        <v>344</v>
      </c>
      <c r="D29" s="125">
        <v>200</v>
      </c>
      <c r="E29" s="125" t="s">
        <v>311</v>
      </c>
      <c r="F29" s="197"/>
      <c r="G29" s="122"/>
      <c r="H29" s="122"/>
      <c r="I29" s="122"/>
      <c r="J29" s="122"/>
      <c r="K29" s="141"/>
      <c r="L29" s="141"/>
    </row>
    <row r="30" spans="2:12" ht="16.2" thickBot="1" x14ac:dyDescent="0.35">
      <c r="B30" s="128">
        <v>28</v>
      </c>
      <c r="C30" s="125" t="s">
        <v>345</v>
      </c>
      <c r="D30" s="125">
        <v>170</v>
      </c>
      <c r="E30" s="125" t="s">
        <v>317</v>
      </c>
      <c r="F30" s="197"/>
      <c r="G30" s="122"/>
      <c r="H30" s="122"/>
      <c r="I30" s="122"/>
      <c r="J30" s="122"/>
      <c r="K30" s="141"/>
      <c r="L30" s="141"/>
    </row>
    <row r="31" spans="2:12" ht="16.2" thickBot="1" x14ac:dyDescent="0.35">
      <c r="B31" s="128">
        <v>29</v>
      </c>
      <c r="C31" s="125" t="s">
        <v>346</v>
      </c>
      <c r="D31" s="125">
        <v>180</v>
      </c>
      <c r="E31" s="125" t="s">
        <v>311</v>
      </c>
      <c r="F31" s="197"/>
      <c r="G31" s="122"/>
      <c r="H31" s="122"/>
      <c r="I31" s="122"/>
      <c r="J31" s="122"/>
      <c r="K31" s="141"/>
      <c r="L31" s="141"/>
    </row>
    <row r="32" spans="2:12" ht="16.2" thickBot="1" x14ac:dyDescent="0.35">
      <c r="B32" s="128">
        <v>30</v>
      </c>
      <c r="C32" s="125" t="s">
        <v>347</v>
      </c>
      <c r="D32" s="125">
        <v>190</v>
      </c>
      <c r="E32" s="125" t="s">
        <v>311</v>
      </c>
      <c r="F32" s="197"/>
      <c r="G32" s="122"/>
      <c r="H32" s="122"/>
      <c r="I32" s="122"/>
      <c r="J32" s="122"/>
      <c r="K32" s="141"/>
      <c r="L32" s="141"/>
    </row>
    <row r="33" spans="2:12" ht="16.2" thickBot="1" x14ac:dyDescent="0.35">
      <c r="B33" s="128">
        <v>31</v>
      </c>
      <c r="C33" s="125" t="s">
        <v>348</v>
      </c>
      <c r="D33" s="125">
        <v>160</v>
      </c>
      <c r="E33" s="125" t="s">
        <v>317</v>
      </c>
      <c r="F33" s="197"/>
      <c r="G33" s="122"/>
      <c r="H33" s="122"/>
      <c r="I33" s="122"/>
      <c r="J33" s="122"/>
      <c r="K33" s="141"/>
      <c r="L33" s="141"/>
    </row>
    <row r="34" spans="2:12" ht="16.2" thickBot="1" x14ac:dyDescent="0.35">
      <c r="B34" s="128">
        <v>32</v>
      </c>
      <c r="C34" s="125" t="s">
        <v>349</v>
      </c>
      <c r="D34" s="125">
        <v>100</v>
      </c>
      <c r="E34" s="125" t="s">
        <v>317</v>
      </c>
      <c r="F34" s="197"/>
      <c r="G34" s="122"/>
      <c r="H34" s="122"/>
      <c r="I34" s="122"/>
      <c r="J34" s="122"/>
      <c r="K34" s="141"/>
      <c r="L34" s="141"/>
    </row>
    <row r="35" spans="2:12" ht="16.2" thickBot="1" x14ac:dyDescent="0.35">
      <c r="B35" s="128">
        <v>33</v>
      </c>
      <c r="C35" s="125" t="s">
        <v>350</v>
      </c>
      <c r="D35" s="125">
        <v>140</v>
      </c>
      <c r="E35" s="125" t="s">
        <v>317</v>
      </c>
      <c r="F35" s="198"/>
      <c r="G35" s="122"/>
      <c r="H35" s="122"/>
      <c r="I35" s="122"/>
      <c r="J35" s="122"/>
      <c r="K35" s="141"/>
      <c r="L35" s="141"/>
    </row>
  </sheetData>
  <mergeCells count="7">
    <mergeCell ref="F22:F35"/>
    <mergeCell ref="F3:F21"/>
    <mergeCell ref="H3:H5"/>
    <mergeCell ref="J3:J13"/>
    <mergeCell ref="H7:H9"/>
    <mergeCell ref="H11:H13"/>
    <mergeCell ref="H14:I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Excel Interface</vt:lpstr>
      <vt:lpstr>Data Formating </vt:lpstr>
      <vt:lpstr>Data Type</vt:lpstr>
      <vt:lpstr>sorting and Filtering</vt:lpstr>
      <vt:lpstr>Basic formula and functions</vt:lpstr>
      <vt:lpstr>Sheet3</vt:lpstr>
      <vt:lpstr>Cell referencing and Percentage</vt:lpstr>
      <vt:lpstr>Text Function</vt:lpstr>
      <vt:lpstr>Data Filtering</vt:lpstr>
      <vt:lpstr>Date &amp; Time Function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SATYAM KUMAR</dc:creator>
  <cp:lastModifiedBy>SATYAM KUMAR</cp:lastModifiedBy>
  <dcterms:created xsi:type="dcterms:W3CDTF">2026-07-12T10:39:58Z</dcterms:created>
  <dcterms:modified xsi:type="dcterms:W3CDTF">2026-07-25T14:22:04Z</dcterms:modified>
</cp:coreProperties>
</file>