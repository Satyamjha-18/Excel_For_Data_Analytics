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imelineCaches/timelineCache1.xml" ContentType="application/vnd.ms-excel.timelineCache+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slicers/slicer1.xml" ContentType="application/vnd.ms-excel.slicer+xml"/>
  <Override PartName="/xl/tables/table8.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queryTables/queryTable3.xml" ContentType="application/vnd.openxmlformats-officedocument.spreadsheetml.queryTable+xml"/>
  <Override PartName="/xl/slicers/slicer2.xml" ContentType="application/vnd.ms-excel.slicer+xml"/>
  <Override PartName="/xl/pivotTables/pivotTable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9e01621777f20dcb/Desktop/Excel_For_Data_Analytics/Data_Cleaning/"/>
    </mc:Choice>
  </mc:AlternateContent>
  <xr:revisionPtr revIDLastSave="1002" documentId="8_{293BDCC2-F09D-473D-B68C-E08C6D48E448}" xr6:coauthVersionLast="47" xr6:coauthVersionMax="47" xr10:uidLastSave="{E1960D07-A3C2-4674-AF40-6395EFB7F0AA}"/>
  <bookViews>
    <workbookView xWindow="-96" yWindow="0" windowWidth="11712" windowHeight="12336" firstSheet="12" activeTab="12" xr2:uid="{AC3FC65B-1CC0-423D-A7C6-7B740D3448B6}"/>
  </bookViews>
  <sheets>
    <sheet name="Un Clean Data" sheetId="1" r:id="rId1"/>
    <sheet name="claened data_01" sheetId="5" r:id="rId2"/>
    <sheet name="Unclean Data " sheetId="3" r:id="rId3"/>
    <sheet name="Clean data_02" sheetId="8" r:id="rId4"/>
    <sheet name="Clean and Tranformed table" sheetId="2" r:id="rId5"/>
    <sheet name="Basic chart" sheetId="9" r:id="rId6"/>
    <sheet name="Table-Slicers" sheetId="10" r:id="rId7"/>
    <sheet name="Data for Pivot table and " sheetId="11" r:id="rId8"/>
    <sheet name=" Pivot table and chart" sheetId="12" r:id="rId9"/>
    <sheet name=" Pivot table Timeline" sheetId="14" r:id="rId10"/>
    <sheet name="Uncleaned Data" sheetId="15" r:id="rId11"/>
    <sheet name="Cleaned Data for Dashboard" sheetId="16" r:id="rId12"/>
    <sheet name="Dashboard" sheetId="22" r:id="rId13"/>
  </sheets>
  <definedNames>
    <definedName name="ExternalData_1" localSheetId="1" hidden="1">'claened data_01'!$A$1:$E$16</definedName>
    <definedName name="ExternalData_2" localSheetId="3" hidden="1">'Clean data_02'!$A$1:$F$9</definedName>
    <definedName name="ExternalData_2" localSheetId="11" hidden="1">'Cleaned Data for Dashboard'!$A$1:$F$9</definedName>
    <definedName name="NativeTimeline_Dates">#N/A</definedName>
    <definedName name="Slicer_Items">#N/A</definedName>
    <definedName name="Slicer_Products">#N/A</definedName>
    <definedName name="Slicer_Regions">#N/A</definedName>
  </definedNames>
  <calcPr calcId="191029"/>
  <pivotCaches>
    <pivotCache cacheId="0" r:id="rId14"/>
    <pivotCache cacheId="15" r:id="rId15"/>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46BE6895-7355-4a93-B00E-2C351335B9C9}">
      <x15:slicerCaches xmlns:x14="http://schemas.microsoft.com/office/spreadsheetml/2009/9/main">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7" i="9" l="1"/>
  <c r="C5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338CBB-A896-4B61-8A9A-E1DF90F3AD2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6812825-6B11-48ED-8387-DCB1018EFA45}"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61786692-389A-4EAB-8966-3FF45CF8D9C5}" keepAlive="1" name="Query - Table4" description="Connection to the 'Table4' query in the workbook." type="5" refreshedVersion="0" background="1" saveData="1">
    <dbPr connection="Provider=Microsoft.Mashup.OleDb.1;Data Source=$Workbook$;Location=Table4;Extended Properties=&quot;&quot;" command="SELECT * FROM [Table4]"/>
  </connection>
  <connection id="4" xr16:uid="{9F0241C2-BFD3-469F-99CF-1BD14B1FE8AD}"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 id="5" xr16:uid="{99480E1F-39B7-47E4-9F03-19B258E83F43}" keepAlive="1" name="Query - Table4_1 (2)" description="Connection to the 'Table4_1 (2)' query in the workbook." type="5" refreshedVersion="8" background="1" saveData="1">
    <dbPr connection="Provider=Microsoft.Mashup.OleDb.1;Data Source=$Workbook$;Location=&quot;Table4_1 (2)&quot;;Extended Properties=&quot;&quot;" command="SELECT * FROM [Table4_1 (2)]"/>
  </connection>
</connections>
</file>

<file path=xl/sharedStrings.xml><?xml version="1.0" encoding="utf-8"?>
<sst xmlns="http://schemas.openxmlformats.org/spreadsheetml/2006/main" count="613" uniqueCount="175">
  <si>
    <t>Column1</t>
  </si>
  <si>
    <t>Column2</t>
  </si>
  <si>
    <t>Column3</t>
  </si>
  <si>
    <t>Column4</t>
  </si>
  <si>
    <t>Column5</t>
  </si>
  <si>
    <t>Employee IDs</t>
  </si>
  <si>
    <t>NAMES</t>
  </si>
  <si>
    <t>Departments</t>
  </si>
  <si>
    <t>Cities</t>
  </si>
  <si>
    <t>Dates of Joining</t>
  </si>
  <si>
    <t>TIN012</t>
  </si>
  <si>
    <t>bhavya bidhuri</t>
  </si>
  <si>
    <t>HR</t>
  </si>
  <si>
    <t>Delhi</t>
  </si>
  <si>
    <t>TIN013</t>
  </si>
  <si>
    <t>Sahimuddin SIDDIQUI</t>
  </si>
  <si>
    <t>IT</t>
  </si>
  <si>
    <t>Bhopal</t>
  </si>
  <si>
    <t>Nandini      Soni</t>
  </si>
  <si>
    <t>Management</t>
  </si>
  <si>
    <t>Indore</t>
  </si>
  <si>
    <t>15.01.2020</t>
  </si>
  <si>
    <t>TIN015</t>
  </si>
  <si>
    <t xml:space="preserve">Pramatha        Gowtham   </t>
  </si>
  <si>
    <t>Sales</t>
  </si>
  <si>
    <t>13.08.2021</t>
  </si>
  <si>
    <t>TIN017</t>
  </si>
  <si>
    <t xml:space="preserve">       bhavishya Gupta</t>
  </si>
  <si>
    <t>Marketing</t>
  </si>
  <si>
    <t>Ahemadabad</t>
  </si>
  <si>
    <t>09-16-2020</t>
  </si>
  <si>
    <t>TIN018</t>
  </si>
  <si>
    <t>SUMIT Dubey</t>
  </si>
  <si>
    <t>Patna</t>
  </si>
  <si>
    <t>TIN020</t>
  </si>
  <si>
    <t>Ayman Chaudhary</t>
  </si>
  <si>
    <t>TIN021</t>
  </si>
  <si>
    <t xml:space="preserve">       Neha arora</t>
  </si>
  <si>
    <t>TIN022</t>
  </si>
  <si>
    <t>Hemant BHArdwaj</t>
  </si>
  <si>
    <t>TIN023</t>
  </si>
  <si>
    <t>Jeet Paramanik</t>
  </si>
  <si>
    <t>Lucknow</t>
  </si>
  <si>
    <t>TIN025</t>
  </si>
  <si>
    <t>Palak panDEY</t>
  </si>
  <si>
    <t>Noida</t>
  </si>
  <si>
    <t>TIN026</t>
  </si>
  <si>
    <t>TIN028</t>
  </si>
  <si>
    <t>TIN029</t>
  </si>
  <si>
    <t>Jabalpur</t>
  </si>
  <si>
    <t>TIN030</t>
  </si>
  <si>
    <t>AkashYadav</t>
  </si>
  <si>
    <t>Bhavya Bidhuri</t>
  </si>
  <si>
    <t>Sahimuddin Siddiqui</t>
  </si>
  <si>
    <t>TIN014</t>
  </si>
  <si>
    <t>Pramatha        Gowtham</t>
  </si>
  <si>
    <t>Bhavishya Gupta</t>
  </si>
  <si>
    <t>Sumit Dubey</t>
  </si>
  <si>
    <t>Neha Arora</t>
  </si>
  <si>
    <t>Hemant Bhardwaj</t>
  </si>
  <si>
    <t>Palak Pandey</t>
  </si>
  <si>
    <t>Akashyadav</t>
  </si>
  <si>
    <t>Sales of 8 products across 5 years</t>
  </si>
  <si>
    <t>Column6</t>
  </si>
  <si>
    <t>Products</t>
  </si>
  <si>
    <t>2012</t>
  </si>
  <si>
    <t>2013</t>
  </si>
  <si>
    <t>2014</t>
  </si>
  <si>
    <t>2015</t>
  </si>
  <si>
    <t>Antibiotics</t>
  </si>
  <si>
    <t>Laxatives</t>
  </si>
  <si>
    <t>AnTACids</t>
  </si>
  <si>
    <t>Anti-pyretics</t>
  </si>
  <si>
    <t>Anti-hypertensives</t>
  </si>
  <si>
    <t>Analgesics</t>
  </si>
  <si>
    <t>Questions to be solved :
1. Plot a graph to compare the sales of 2012, 2013, 2015 and 2016.
2. Calculate the total sales of all the years using a pivot table.
3. Compare the percentage contribution for differrent products in different years.
4. Compare the sales trends for Product Antibiotics, for all the years.</t>
  </si>
  <si>
    <t>Blood THINners</t>
  </si>
  <si>
    <t>Statins</t>
  </si>
  <si>
    <r>
      <t>"</t>
    </r>
    <r>
      <rPr>
        <b/>
        <sz val="11"/>
        <color theme="1"/>
        <rFont val="Calibri"/>
        <family val="2"/>
        <scheme val="minor"/>
      </rPr>
      <t xml:space="preserve">* This Sales dataset for different products is collected from a renowned store in Kolkata.
* It should be used to answer all the questions correctly.
* The dataset contains the names of 8 different products and their selling prices for 5 years."								</t>
    </r>
  </si>
  <si>
    <t>TIN000</t>
  </si>
  <si>
    <t>unknoun</t>
  </si>
  <si>
    <t>tranner</t>
  </si>
  <si>
    <t>Pramatha Gowtham</t>
  </si>
  <si>
    <t>Nandini  Soni</t>
  </si>
  <si>
    <t>2016</t>
  </si>
  <si>
    <t>Names</t>
  </si>
  <si>
    <t>Scores</t>
  </si>
  <si>
    <t>A</t>
  </si>
  <si>
    <t>AB</t>
  </si>
  <si>
    <t>B</t>
  </si>
  <si>
    <t>BC</t>
  </si>
  <si>
    <t>C</t>
  </si>
  <si>
    <t>CD</t>
  </si>
  <si>
    <t>D</t>
  </si>
  <si>
    <t>DE</t>
  </si>
  <si>
    <t>E</t>
  </si>
  <si>
    <t>EF</t>
  </si>
  <si>
    <t>F</t>
  </si>
  <si>
    <t>FG</t>
  </si>
  <si>
    <t>G</t>
  </si>
  <si>
    <t>GH</t>
  </si>
  <si>
    <t>H</t>
  </si>
  <si>
    <t>I</t>
  </si>
  <si>
    <t>J</t>
  </si>
  <si>
    <t>K</t>
  </si>
  <si>
    <t>L</t>
  </si>
  <si>
    <t>M</t>
  </si>
  <si>
    <t>N</t>
  </si>
  <si>
    <t>O</t>
  </si>
  <si>
    <t>P</t>
  </si>
  <si>
    <t>Q</t>
  </si>
  <si>
    <t>R</t>
  </si>
  <si>
    <t>S</t>
  </si>
  <si>
    <t>T</t>
  </si>
  <si>
    <t>U</t>
  </si>
  <si>
    <t>V</t>
  </si>
  <si>
    <t>W</t>
  </si>
  <si>
    <t>X</t>
  </si>
  <si>
    <t>Y</t>
  </si>
  <si>
    <t>Z</t>
  </si>
  <si>
    <t>Items</t>
  </si>
  <si>
    <t>Prices</t>
  </si>
  <si>
    <t>Dates</t>
  </si>
  <si>
    <t>Regions</t>
  </si>
  <si>
    <t>Beauty products</t>
  </si>
  <si>
    <t>South</t>
  </si>
  <si>
    <t>Mobile Accessories</t>
  </si>
  <si>
    <t>East</t>
  </si>
  <si>
    <t>Home décor</t>
  </si>
  <si>
    <t>Kitchen ware</t>
  </si>
  <si>
    <t>Smart watch</t>
  </si>
  <si>
    <t>West</t>
  </si>
  <si>
    <t>Baby products</t>
  </si>
  <si>
    <t>North</t>
  </si>
  <si>
    <t>Jewellery</t>
  </si>
  <si>
    <t>Perfumes</t>
  </si>
  <si>
    <t>Personal care</t>
  </si>
  <si>
    <t>Total of Prices</t>
  </si>
  <si>
    <t>-</t>
  </si>
  <si>
    <t>Semester 1</t>
  </si>
  <si>
    <t>Semester 2</t>
  </si>
  <si>
    <t>Semester 3</t>
  </si>
  <si>
    <t>Homework (Line Chart)</t>
  </si>
  <si>
    <t>Clustered Column Chart</t>
  </si>
  <si>
    <t>Total</t>
  </si>
  <si>
    <t>Wrist Watch</t>
  </si>
  <si>
    <t>Bass Headphones</t>
  </si>
  <si>
    <t>Pet supplies</t>
  </si>
  <si>
    <t>Beverages</t>
  </si>
  <si>
    <t>Books</t>
  </si>
  <si>
    <t>Grand Total</t>
  </si>
  <si>
    <t>Sum of Prices</t>
  </si>
  <si>
    <t>Jan</t>
  </si>
  <si>
    <t>Aug</t>
  </si>
  <si>
    <t>Mar</t>
  </si>
  <si>
    <t>Jun</t>
  </si>
  <si>
    <t>May</t>
  </si>
  <si>
    <t>Sep</t>
  </si>
  <si>
    <t>Apr</t>
  </si>
  <si>
    <t>Jul</t>
  </si>
  <si>
    <t>Nov</t>
  </si>
  <si>
    <t>Column Labels</t>
  </si>
  <si>
    <t>* This Sales dataset for different products is collected from a renowned store in Kolkata.
* It should be used to answer all the questions correctly.
* The dataset contains the names of 8 different products and their selling prices for 5 years.</t>
  </si>
  <si>
    <t>How to build dashborad</t>
  </si>
  <si>
    <t>Follow  thes steps in order</t>
  </si>
  <si>
    <t>3.Add chart and KPI card</t>
  </si>
  <si>
    <t>4.Add sclicer and tidy the layout</t>
  </si>
  <si>
    <t>2.Make pivot tables to summarise</t>
  </si>
  <si>
    <t>1.Clean your data first</t>
  </si>
  <si>
    <t>Sum of 2012</t>
  </si>
  <si>
    <t>Sum of 2013</t>
  </si>
  <si>
    <t>Sum of 2014</t>
  </si>
  <si>
    <t>Sum of 2015</t>
  </si>
  <si>
    <t>Sum of 2016</t>
  </si>
  <si>
    <t>Medicines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</si>
</sst>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quot;₹&quot;\ #,##0.00"/>
    <numFmt numFmtId="166" formatCode="&quot;₹&quot;\ #,##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2"/>
      <color theme="1"/>
      <name val="Amasis MT Pro"/>
      <family val="1"/>
    </font>
    <font>
      <sz val="12"/>
      <color theme="1"/>
      <name val="Bookman Old Style"/>
      <family val="1"/>
    </font>
    <font>
      <b/>
      <i/>
      <u/>
      <sz val="14"/>
      <color theme="1"/>
      <name val="Amasis MT Pro"/>
      <family val="1"/>
    </font>
    <font>
      <b/>
      <sz val="12"/>
      <color theme="1"/>
      <name val="Bookman Old Style"/>
      <family val="1"/>
    </font>
    <font>
      <b/>
      <i/>
      <u/>
      <sz val="13"/>
      <color theme="1"/>
      <name val="Amasis MT Pro"/>
      <family val="1"/>
    </font>
    <font>
      <sz val="13"/>
      <color theme="1"/>
      <name val="Amasis MT Pro"/>
      <family val="1"/>
    </font>
    <font>
      <b/>
      <sz val="14"/>
      <color theme="1"/>
      <name val="Bookman Old Style"/>
      <family val="1"/>
    </font>
    <font>
      <sz val="14"/>
      <name val="Bookman Old Style"/>
      <family val="1"/>
    </font>
    <font>
      <sz val="12"/>
      <name val="Bookman Old Style"/>
      <family val="1"/>
    </font>
    <font>
      <b/>
      <sz val="12"/>
      <color theme="0"/>
      <name val="Bookman Old Style"/>
      <family val="1"/>
    </font>
    <font>
      <b/>
      <u/>
      <sz val="14"/>
      <color theme="1"/>
      <name val="Bookman Old Style"/>
      <family val="1"/>
    </font>
    <font>
      <b/>
      <u/>
      <sz val="12"/>
      <color theme="1"/>
      <name val="Bookman Old Style"/>
      <family val="1"/>
    </font>
    <font>
      <b/>
      <u/>
      <sz val="20"/>
      <color rgb="FFFF0000"/>
      <name val="Calibri"/>
      <family val="2"/>
      <scheme val="minor"/>
    </font>
    <font>
      <b/>
      <sz val="20"/>
      <color theme="1"/>
      <name val="Calibri"/>
      <family val="2"/>
      <scheme val="minor"/>
    </font>
    <font>
      <b/>
      <sz val="14"/>
      <name val="Bookman Old Style"/>
      <family val="1"/>
    </font>
    <font>
      <b/>
      <u/>
      <sz val="14"/>
      <name val="Bookman Old Style"/>
      <family val="1"/>
    </font>
    <font>
      <sz val="11"/>
      <name val="Calibri"/>
      <family val="2"/>
      <scheme val="minor"/>
    </font>
    <font>
      <b/>
      <sz val="16"/>
      <color theme="1"/>
      <name val="Calibri"/>
      <family val="2"/>
      <scheme val="minor"/>
    </font>
    <font>
      <sz val="11"/>
      <color theme="1"/>
      <name val="Arial"/>
      <family val="2"/>
    </font>
  </fonts>
  <fills count="13">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59999389629810485"/>
        <bgColor rgb="FFFFE598"/>
      </patternFill>
    </fill>
    <fill>
      <patternFill patternType="solid">
        <fgColor theme="0"/>
        <bgColor theme="4" tint="0.79998168889431442"/>
      </patternFill>
    </fill>
    <fill>
      <patternFill patternType="solid">
        <fgColor theme="0"/>
        <bgColor theme="4" tint="0.59999389629810485"/>
      </patternFill>
    </fill>
    <fill>
      <patternFill patternType="solid">
        <fgColor rgb="FFDEEAF6"/>
        <bgColor rgb="FFDEEAF6"/>
      </patternFill>
    </fill>
    <fill>
      <patternFill patternType="solid">
        <fgColor theme="0"/>
        <bgColor indexed="64"/>
      </patternFill>
    </fill>
    <fill>
      <patternFill patternType="solid">
        <fgColor theme="8" tint="0.59999389629810485"/>
        <bgColor indexed="64"/>
      </patternFill>
    </fill>
    <fill>
      <patternFill patternType="solid">
        <fgColor rgb="FFFFE598"/>
        <bgColor rgb="FFFFE598"/>
      </patternFill>
    </fill>
    <fill>
      <patternFill patternType="solid">
        <fgColor theme="1"/>
        <bgColor indexed="64"/>
      </patternFill>
    </fill>
    <fill>
      <patternFill patternType="solid">
        <fgColor rgb="FF00B0F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style="thin">
        <color indexed="64"/>
      </right>
      <top/>
      <bottom style="thin">
        <color indexed="64"/>
      </bottom>
      <diagonal/>
    </border>
    <border>
      <left/>
      <right style="thin">
        <color indexed="64"/>
      </right>
      <top style="thin">
        <color indexed="64"/>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n">
        <color rgb="FF000000"/>
      </top>
      <bottom/>
      <diagonal/>
    </border>
    <border>
      <left/>
      <right/>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style="thin">
        <color theme="1"/>
      </right>
      <top style="thin">
        <color theme="1"/>
      </top>
      <bottom/>
      <diagonal/>
    </border>
    <border>
      <left/>
      <right style="thin">
        <color rgb="FF000000"/>
      </right>
      <top style="thin">
        <color rgb="FF000000"/>
      </top>
      <bottom/>
      <diagonal/>
    </border>
  </borders>
  <cellStyleXfs count="7">
    <xf numFmtId="0" fontId="0"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04">
    <xf numFmtId="0" fontId="0" fillId="0" borderId="0" xfId="0"/>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8" fillId="0" borderId="5" xfId="0" applyFont="1" applyBorder="1" applyAlignment="1">
      <alignment horizontal="center" vertical="center"/>
    </xf>
    <xf numFmtId="14" fontId="4" fillId="0" borderId="5" xfId="0" applyNumberFormat="1" applyFont="1" applyBorder="1" applyAlignment="1">
      <alignment horizontal="center" vertical="center"/>
    </xf>
    <xf numFmtId="0" fontId="4" fillId="0" borderId="5"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4" fillId="0" borderId="3" xfId="0" applyFont="1" applyBorder="1" applyAlignment="1">
      <alignment horizontal="center" vertical="center"/>
    </xf>
    <xf numFmtId="14" fontId="4" fillId="0" borderId="6" xfId="0" applyNumberFormat="1" applyFont="1" applyBorder="1" applyAlignment="1">
      <alignment horizontal="center" vertical="center"/>
    </xf>
    <xf numFmtId="0" fontId="8" fillId="0" borderId="2" xfId="0" applyFont="1" applyBorder="1"/>
    <xf numFmtId="0" fontId="4" fillId="0" borderId="2" xfId="0" applyFont="1" applyBorder="1"/>
    <xf numFmtId="0" fontId="8" fillId="0" borderId="9" xfId="0" applyFont="1" applyBorder="1"/>
    <xf numFmtId="0" fontId="4" fillId="0" borderId="10" xfId="0" applyFont="1" applyBorder="1"/>
    <xf numFmtId="0" fontId="9" fillId="0" borderId="2" xfId="0" applyFont="1" applyBorder="1" applyAlignment="1">
      <alignment horizontal="center" vertical="center"/>
    </xf>
    <xf numFmtId="0" fontId="9" fillId="0" borderId="1" xfId="0" applyFont="1" applyBorder="1" applyAlignment="1">
      <alignment horizontal="center" vertical="center"/>
    </xf>
    <xf numFmtId="164" fontId="9" fillId="0" borderId="5" xfId="0" applyNumberFormat="1" applyFont="1" applyBorder="1" applyAlignment="1">
      <alignment horizontal="center" vertical="center"/>
    </xf>
    <xf numFmtId="0" fontId="9" fillId="0" borderId="10" xfId="0" applyFont="1" applyBorder="1" applyAlignment="1">
      <alignment horizontal="center" vertical="center"/>
    </xf>
    <xf numFmtId="0" fontId="9" fillId="0" borderId="3" xfId="0" applyFont="1" applyBorder="1" applyAlignment="1">
      <alignment horizontal="center" vertical="center"/>
    </xf>
    <xf numFmtId="164" fontId="9" fillId="0" borderId="6" xfId="0" applyNumberFormat="1" applyFont="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14" fontId="0" fillId="0" borderId="0" xfId="0" applyNumberFormat="1"/>
    <xf numFmtId="0" fontId="5" fillId="6" borderId="8" xfId="2" applyFont="1" applyFill="1" applyBorder="1" applyAlignment="1">
      <alignment horizontal="center" vertical="center" wrapText="1"/>
    </xf>
    <xf numFmtId="0" fontId="5" fillId="5" borderId="8" xfId="2" applyFont="1" applyFill="1" applyBorder="1" applyAlignment="1">
      <alignment horizontal="center" vertical="center" wrapText="1"/>
    </xf>
    <xf numFmtId="0" fontId="5" fillId="0" borderId="0" xfId="2" applyFont="1" applyAlignment="1">
      <alignment horizontal="center" vertical="center" wrapText="1"/>
    </xf>
    <xf numFmtId="0" fontId="13" fillId="5" borderId="8" xfId="2" applyFont="1" applyFill="1" applyBorder="1" applyAlignment="1">
      <alignment horizontal="center" vertical="center" wrapText="1"/>
    </xf>
    <xf numFmtId="0" fontId="7" fillId="5" borderId="8" xfId="2" applyFont="1" applyFill="1" applyBorder="1" applyAlignment="1">
      <alignment horizontal="center" vertical="center" wrapText="1"/>
    </xf>
    <xf numFmtId="0" fontId="13" fillId="5" borderId="14" xfId="2" applyFont="1" applyFill="1" applyBorder="1" applyAlignment="1">
      <alignment horizontal="center" vertical="center" wrapText="1"/>
    </xf>
    <xf numFmtId="0" fontId="7" fillId="5" borderId="14" xfId="2" applyFont="1" applyFill="1" applyBorder="1" applyAlignment="1">
      <alignment horizontal="center" vertical="center" wrapText="1"/>
    </xf>
    <xf numFmtId="0" fontId="5" fillId="6" borderId="14" xfId="2" applyFont="1" applyFill="1" applyBorder="1" applyAlignment="1">
      <alignment horizontal="center" vertical="center" wrapText="1"/>
    </xf>
    <xf numFmtId="0" fontId="5" fillId="5" borderId="14" xfId="2" applyFont="1" applyFill="1" applyBorder="1" applyAlignment="1">
      <alignment horizontal="center" vertical="center" wrapText="1"/>
    </xf>
    <xf numFmtId="0" fontId="10" fillId="4" borderId="15" xfId="2" applyFont="1" applyFill="1" applyBorder="1" applyAlignment="1">
      <alignment horizontal="center" vertical="center" wrapText="1"/>
    </xf>
    <xf numFmtId="0" fontId="11" fillId="3" borderId="15" xfId="2" applyFont="1" applyFill="1" applyBorder="1" applyAlignment="1">
      <alignment horizontal="center" vertical="center" wrapText="1"/>
    </xf>
    <xf numFmtId="0" fontId="0" fillId="0" borderId="0" xfId="0" applyAlignment="1">
      <alignment horizontal="center" wrapText="1"/>
    </xf>
    <xf numFmtId="165" fontId="0" fillId="0" borderId="0" xfId="0" applyNumberFormat="1"/>
    <xf numFmtId="0" fontId="14" fillId="3" borderId="1" xfId="2" applyFont="1" applyFill="1" applyBorder="1" applyAlignment="1">
      <alignment horizontal="center" vertical="center"/>
    </xf>
    <xf numFmtId="0" fontId="5" fillId="0" borderId="1" xfId="2" applyFont="1" applyBorder="1" applyAlignment="1">
      <alignment horizontal="center" vertical="center"/>
    </xf>
    <xf numFmtId="0" fontId="15" fillId="3" borderId="1" xfId="3" applyFont="1" applyFill="1" applyBorder="1" applyAlignment="1">
      <alignment horizontal="center" vertical="center" wrapText="1"/>
    </xf>
    <xf numFmtId="0" fontId="5" fillId="8" borderId="1" xfId="3" applyFont="1" applyFill="1" applyBorder="1" applyAlignment="1">
      <alignment horizontal="center" vertical="center" wrapText="1"/>
    </xf>
    <xf numFmtId="166" fontId="5" fillId="8" borderId="1" xfId="3" applyNumberFormat="1" applyFont="1" applyFill="1" applyBorder="1" applyAlignment="1">
      <alignment horizontal="center" vertical="center" wrapText="1"/>
    </xf>
    <xf numFmtId="14" fontId="5" fillId="8" borderId="1" xfId="3" applyNumberFormat="1" applyFont="1" applyFill="1" applyBorder="1" applyAlignment="1">
      <alignment horizontal="center" vertical="center" wrapText="1"/>
    </xf>
    <xf numFmtId="0" fontId="15" fillId="3" borderId="5" xfId="3" applyFont="1" applyFill="1" applyBorder="1" applyAlignment="1">
      <alignment horizontal="center" vertical="center" wrapText="1"/>
    </xf>
    <xf numFmtId="14" fontId="5" fillId="8" borderId="5" xfId="3" applyNumberFormat="1" applyFont="1" applyFill="1" applyBorder="1" applyAlignment="1">
      <alignment horizontal="center" vertical="center" wrapText="1"/>
    </xf>
    <xf numFmtId="0" fontId="7" fillId="0" borderId="1" xfId="2" applyFont="1" applyBorder="1" applyAlignment="1">
      <alignment horizontal="center" vertical="center"/>
    </xf>
    <xf numFmtId="166" fontId="7" fillId="0" borderId="1" xfId="2" applyNumberFormat="1" applyFont="1" applyBorder="1" applyAlignment="1">
      <alignment horizontal="center" vertical="center"/>
    </xf>
    <xf numFmtId="0" fontId="7" fillId="8" borderId="1" xfId="2" applyFont="1" applyFill="1" applyBorder="1" applyAlignment="1">
      <alignment horizontal="center" vertical="center"/>
    </xf>
    <xf numFmtId="0" fontId="7" fillId="3" borderId="1" xfId="3" applyFont="1" applyFill="1" applyBorder="1" applyAlignment="1">
      <alignment horizontal="center" vertical="center" wrapText="1"/>
    </xf>
    <xf numFmtId="0" fontId="7" fillId="3" borderId="1" xfId="2" applyFont="1" applyFill="1" applyBorder="1" applyAlignment="1">
      <alignment horizontal="center" vertical="center"/>
    </xf>
    <xf numFmtId="0" fontId="7" fillId="3" borderId="5" xfId="2" applyFont="1" applyFill="1" applyBorder="1" applyAlignment="1">
      <alignment horizontal="center" vertical="center"/>
    </xf>
    <xf numFmtId="0" fontId="5" fillId="0" borderId="5" xfId="2" applyFont="1" applyBorder="1" applyAlignment="1">
      <alignment horizontal="center" vertical="center"/>
    </xf>
    <xf numFmtId="0" fontId="5" fillId="8" borderId="1" xfId="2" applyFont="1" applyFill="1" applyBorder="1" applyAlignment="1">
      <alignment horizontal="center" vertical="center"/>
    </xf>
    <xf numFmtId="166" fontId="0" fillId="0" borderId="1" xfId="0" applyNumberFormat="1" applyBorder="1" applyAlignment="1">
      <alignment horizontal="center" vertical="center"/>
    </xf>
    <xf numFmtId="0" fontId="0" fillId="0" borderId="1" xfId="0" applyBorder="1"/>
    <xf numFmtId="0" fontId="19" fillId="0" borderId="0" xfId="3" applyFont="1" applyAlignment="1">
      <alignment horizontal="center" vertical="center"/>
    </xf>
    <xf numFmtId="0" fontId="19" fillId="0" borderId="18" xfId="3" applyFont="1" applyBorder="1" applyAlignment="1">
      <alignment horizontal="center" vertical="center"/>
    </xf>
    <xf numFmtId="0" fontId="19" fillId="0" borderId="17" xfId="3" applyFont="1" applyBorder="1" applyAlignment="1">
      <alignment horizontal="center" vertical="center"/>
    </xf>
    <xf numFmtId="0" fontId="18" fillId="0" borderId="20" xfId="3" applyFont="1" applyBorder="1" applyAlignment="1">
      <alignment horizontal="center" vertical="center"/>
    </xf>
    <xf numFmtId="166" fontId="11" fillId="0" borderId="6" xfId="3" applyNumberFormat="1" applyFont="1" applyBorder="1" applyAlignment="1">
      <alignment horizontal="center" vertical="center"/>
    </xf>
    <xf numFmtId="14" fontId="11" fillId="0" borderId="6" xfId="3" applyNumberFormat="1" applyFont="1" applyBorder="1" applyAlignment="1">
      <alignment horizontal="center" vertical="center"/>
    </xf>
    <xf numFmtId="0" fontId="11" fillId="0" borderId="3" xfId="3" applyFont="1" applyBorder="1" applyAlignment="1">
      <alignment horizontal="center" vertical="center"/>
    </xf>
    <xf numFmtId="14" fontId="11" fillId="0" borderId="22" xfId="3" applyNumberFormat="1" applyFont="1" applyBorder="1" applyAlignment="1">
      <alignment horizontal="center" vertical="center"/>
    </xf>
    <xf numFmtId="0" fontId="11" fillId="0" borderId="23" xfId="3" applyFont="1" applyBorder="1" applyAlignment="1">
      <alignment horizontal="center" vertical="center"/>
    </xf>
    <xf numFmtId="0" fontId="18" fillId="0" borderId="19" xfId="3" applyFont="1" applyBorder="1" applyAlignment="1">
      <alignment horizontal="center" vertical="center"/>
    </xf>
    <xf numFmtId="166" fontId="11" fillId="0" borderId="5" xfId="3" applyNumberFormat="1" applyFont="1" applyBorder="1" applyAlignment="1">
      <alignment horizontal="center" vertical="center"/>
    </xf>
    <xf numFmtId="14" fontId="11" fillId="0" borderId="21" xfId="3" applyNumberFormat="1" applyFont="1" applyBorder="1" applyAlignment="1">
      <alignment horizontal="center" vertical="center"/>
    </xf>
    <xf numFmtId="0" fontId="11" fillId="0" borderId="16" xfId="3" applyFont="1" applyBorder="1" applyAlignment="1">
      <alignment horizontal="center" vertical="center"/>
    </xf>
    <xf numFmtId="0" fontId="0" fillId="0" borderId="1" xfId="0" applyBorder="1" applyAlignment="1">
      <alignment horizontal="left"/>
    </xf>
    <xf numFmtId="166" fontId="0" fillId="0" borderId="1" xfId="0" applyNumberFormat="1" applyBorder="1"/>
    <xf numFmtId="0" fontId="0" fillId="0" borderId="1" xfId="0" applyBorder="1" applyAlignment="1">
      <alignment horizontal="left" indent="1"/>
    </xf>
    <xf numFmtId="0" fontId="0" fillId="0" borderId="1" xfId="0" pivotButton="1" applyBorder="1"/>
    <xf numFmtId="0" fontId="20" fillId="0" borderId="1" xfId="0" pivotButton="1" applyFont="1" applyBorder="1" applyAlignment="1">
      <alignment horizontal="center"/>
    </xf>
    <xf numFmtId="0" fontId="20" fillId="0" borderId="1" xfId="0" applyFont="1" applyBorder="1" applyAlignment="1">
      <alignment horizontal="center" vertical="center"/>
    </xf>
    <xf numFmtId="0" fontId="7" fillId="7" borderId="11" xfId="2" applyFont="1" applyFill="1" applyBorder="1" applyAlignment="1">
      <alignment horizontal="left" vertical="center" wrapText="1"/>
    </xf>
    <xf numFmtId="0" fontId="12" fillId="0" borderId="12" xfId="2" applyFont="1" applyBorder="1" applyAlignment="1">
      <alignment horizontal="left" vertical="center" wrapText="1"/>
    </xf>
    <xf numFmtId="0" fontId="12" fillId="0" borderId="13" xfId="2" applyFont="1" applyBorder="1" applyAlignment="1">
      <alignment horizontal="left" vertical="center" wrapText="1"/>
    </xf>
    <xf numFmtId="0" fontId="0" fillId="2" borderId="0" xfId="0" applyFill="1" applyAlignment="1">
      <alignment wrapText="1"/>
    </xf>
    <xf numFmtId="0" fontId="16" fillId="0" borderId="4" xfId="2" applyFont="1" applyBorder="1" applyAlignment="1">
      <alignment horizontal="center" vertical="center"/>
    </xf>
    <xf numFmtId="0" fontId="16" fillId="0" borderId="1" xfId="2" applyFont="1" applyBorder="1" applyAlignment="1">
      <alignment horizontal="center" vertical="center"/>
    </xf>
    <xf numFmtId="0" fontId="17" fillId="9" borderId="1" xfId="2" applyFont="1" applyFill="1" applyBorder="1" applyAlignment="1">
      <alignment horizontal="center" vertical="center"/>
    </xf>
    <xf numFmtId="0" fontId="7" fillId="5" borderId="1" xfId="2" applyFont="1" applyFill="1" applyBorder="1" applyAlignment="1">
      <alignment horizontal="center" vertical="center" wrapText="1"/>
    </xf>
    <xf numFmtId="0" fontId="13" fillId="5" borderId="1" xfId="2" applyFont="1" applyFill="1" applyBorder="1" applyAlignment="1">
      <alignment horizontal="center" vertical="center" wrapText="1"/>
    </xf>
    <xf numFmtId="0" fontId="11" fillId="3" borderId="14" xfId="2" applyFont="1" applyFill="1" applyBorder="1" applyAlignment="1">
      <alignment horizontal="center" vertical="center" wrapText="1"/>
    </xf>
    <xf numFmtId="0" fontId="11" fillId="3" borderId="24" xfId="2" applyFont="1" applyFill="1" applyBorder="1" applyAlignment="1">
      <alignment horizontal="center" vertical="center" wrapText="1"/>
    </xf>
    <xf numFmtId="0" fontId="10" fillId="4" borderId="8" xfId="2" applyFont="1" applyFill="1" applyBorder="1" applyAlignment="1">
      <alignment horizontal="center" vertical="center" wrapText="1"/>
    </xf>
    <xf numFmtId="0" fontId="0" fillId="0" borderId="0" xfId="0"/>
    <xf numFmtId="0" fontId="5" fillId="0" borderId="0" xfId="2" applyFont="1" applyAlignment="1">
      <alignment horizontal="center" vertical="center" wrapText="1"/>
    </xf>
    <xf numFmtId="0" fontId="5" fillId="6" borderId="1" xfId="2" applyFont="1" applyFill="1" applyBorder="1" applyAlignment="1">
      <alignment horizontal="center" vertical="center" wrapText="1"/>
    </xf>
    <xf numFmtId="0" fontId="5" fillId="5" borderId="1" xfId="2" applyFont="1" applyFill="1" applyBorder="1" applyAlignment="1">
      <alignment horizontal="center" vertical="center" wrapText="1"/>
    </xf>
    <xf numFmtId="0" fontId="7" fillId="10" borderId="11" xfId="2" applyFont="1" applyFill="1" applyBorder="1" applyAlignment="1">
      <alignment horizontal="left" vertical="center" wrapText="1"/>
    </xf>
    <xf numFmtId="0" fontId="0" fillId="0" borderId="0" xfId="0"/>
    <xf numFmtId="0" fontId="0" fillId="0" borderId="0" xfId="0" applyAlignment="1">
      <alignment horizontal="center" vertical="center"/>
    </xf>
    <xf numFmtId="165" fontId="0" fillId="0" borderId="0" xfId="0" applyNumberFormat="1"/>
    <xf numFmtId="0" fontId="2" fillId="3" borderId="0" xfId="0" applyFont="1" applyFill="1" applyAlignment="1">
      <alignment horizontal="left" vertical="center"/>
    </xf>
    <xf numFmtId="0" fontId="2" fillId="3" borderId="0" xfId="0" applyFont="1" applyFill="1" applyAlignment="1">
      <alignment horizontal="left"/>
    </xf>
    <xf numFmtId="0" fontId="2" fillId="3" borderId="0" xfId="0" applyFont="1" applyFill="1" applyAlignment="1">
      <alignment horizontal="left" vertical="top"/>
    </xf>
    <xf numFmtId="0" fontId="21" fillId="12" borderId="0" xfId="0" applyFont="1" applyFill="1" applyAlignment="1">
      <alignment horizontal="center" vertical="center"/>
    </xf>
    <xf numFmtId="0" fontId="0" fillId="11" borderId="0" xfId="0" applyFill="1"/>
    <xf numFmtId="0" fontId="0" fillId="0" borderId="1" xfId="0" applyFill="1" applyBorder="1" applyAlignment="1">
      <alignment horizontal="center" vertical="center"/>
    </xf>
    <xf numFmtId="0" fontId="22" fillId="0" borderId="1" xfId="0" applyFont="1" applyFill="1" applyBorder="1" applyAlignment="1">
      <alignment horizontal="center" vertical="center"/>
    </xf>
    <xf numFmtId="165" fontId="0" fillId="0" borderId="1" xfId="0" applyNumberFormat="1" applyFill="1" applyBorder="1" applyAlignment="1">
      <alignment horizontal="center" vertical="center"/>
    </xf>
    <xf numFmtId="0" fontId="0" fillId="0" borderId="1" xfId="0" applyFill="1" applyBorder="1" applyAlignment="1">
      <alignment horizontal="left"/>
    </xf>
    <xf numFmtId="165" fontId="0" fillId="0" borderId="1" xfId="0" applyNumberFormat="1" applyFill="1" applyBorder="1"/>
  </cellXfs>
  <cellStyles count="7">
    <cellStyle name="Normal" xfId="0" builtinId="0"/>
    <cellStyle name="Normal 2" xfId="1" xr:uid="{D124D6D1-ACBA-4755-A099-8F368B6FC197}"/>
    <cellStyle name="Normal 2 2" xfId="3" xr:uid="{913685A5-56AD-4FE0-9362-06A4B4F63B4B}"/>
    <cellStyle name="Normal 3" xfId="2" xr:uid="{AD12ECD7-C961-4E05-88A4-D02C211F8D02}"/>
    <cellStyle name="Normal 3 2" xfId="5" xr:uid="{54890064-A21C-4381-8EAB-720EA8F9C35B}"/>
    <cellStyle name="Normal 3 3" xfId="6" xr:uid="{58D0BB19-0867-40B3-9571-8F4CEA5CB45D}"/>
    <cellStyle name="Normal 4" xfId="4" xr:uid="{AD83761D-335F-42AF-9DFF-6CA11B386E1B}"/>
  </cellStyles>
  <dxfs count="119">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alignment vertical="center"/>
    </dxf>
    <dxf>
      <alignment horizontal="center"/>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4"/>
        <color auto="1"/>
        <name val="Bookman Old Style"/>
        <family val="1"/>
        <scheme val="none"/>
      </font>
      <numFmt numFmtId="166" formatCode="&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4"/>
        <color auto="1"/>
        <name val="Bookman Old Style"/>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border>
    </dxf>
    <dxf>
      <border outline="0">
        <left style="thin">
          <color indexed="64"/>
        </left>
        <top style="thin">
          <color indexed="64"/>
        </top>
      </border>
    </dxf>
    <dxf>
      <fill>
        <patternFill patternType="none">
          <fgColor indexed="64"/>
          <bgColor auto="1"/>
        </patternFill>
      </fill>
    </dxf>
    <dxf>
      <font>
        <b/>
        <i val="0"/>
        <strike val="0"/>
        <condense val="0"/>
        <extend val="0"/>
        <outline val="0"/>
        <shadow val="0"/>
        <u/>
        <vertAlign val="baseline"/>
        <sz val="14"/>
        <color auto="1"/>
        <name val="Bookman Old Style"/>
        <family val="1"/>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Bookman Old Style"/>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Bookman Old Style"/>
        <family val="1"/>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Bookman Old Style"/>
        <family val="1"/>
        <scheme val="none"/>
      </font>
      <numFmt numFmtId="166" formatCode="&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4"/>
        <color auto="1"/>
        <name val="Bookman Old Style"/>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border>
    </dxf>
    <dxf>
      <border outline="0">
        <left style="thin">
          <color indexed="64"/>
        </left>
        <top style="thin">
          <color indexed="64"/>
        </top>
      </border>
    </dxf>
    <dxf>
      <fill>
        <patternFill patternType="none">
          <fgColor indexed="64"/>
          <bgColor auto="1"/>
        </patternFill>
      </fill>
    </dxf>
    <dxf>
      <font>
        <b/>
        <i val="0"/>
        <strike val="0"/>
        <condense val="0"/>
        <extend val="0"/>
        <outline val="0"/>
        <shadow val="0"/>
        <u/>
        <vertAlign val="baseline"/>
        <sz val="14"/>
        <color auto="1"/>
        <name val="Bookman Old Style"/>
        <family val="1"/>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masis MT Pro"/>
        <family val="1"/>
        <scheme val="none"/>
      </font>
      <numFmt numFmtId="164" formatCode="[$-F800]dddd\,\ mmmm\ dd\,\ 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masis MT Pro"/>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masis MT Pro"/>
        <family val="1"/>
        <scheme val="none"/>
      </font>
      <alignment horizontal="center" vertical="center" textRotation="0" wrapText="0" indent="0" justifyLastLine="0" shrinkToFit="0" readingOrder="0"/>
    </dxf>
    <dxf>
      <border outline="0">
        <bottom style="thin">
          <color indexed="64"/>
        </bottom>
      </border>
    </dxf>
    <dxf>
      <font>
        <b/>
        <i/>
        <strike val="0"/>
        <condense val="0"/>
        <extend val="0"/>
        <outline val="0"/>
        <shadow val="0"/>
        <u/>
        <vertAlign val="baseline"/>
        <sz val="14"/>
        <color theme="1"/>
        <name val="Amasis MT Pro"/>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border diagonalUp="0" diagonalDown="0">
        <left/>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Bookman Old Style"/>
        <family val="1"/>
        <scheme val="none"/>
      </font>
      <fill>
        <patternFill patternType="solid">
          <fgColor theme="4" tint="0.79998168889431442"/>
          <bgColor theme="0"/>
        </patternFill>
      </fill>
      <alignment horizontal="center" vertical="center" textRotation="0" wrapText="1" indent="0" justifyLastLine="0" shrinkToFit="0" readingOrder="0"/>
    </dxf>
    <dxf>
      <border outline="0">
        <bottom style="thin">
          <color rgb="FF000000"/>
        </bottom>
      </border>
    </dxf>
    <dxf>
      <font>
        <b val="0"/>
        <i val="0"/>
        <strike val="0"/>
        <condense val="0"/>
        <extend val="0"/>
        <outline val="0"/>
        <shadow val="0"/>
        <u val="none"/>
        <vertAlign val="baseline"/>
        <sz val="14"/>
        <color auto="1"/>
        <name val="Bookman Old Style"/>
        <family val="1"/>
        <scheme val="none"/>
      </font>
      <fill>
        <patternFill patternType="solid">
          <fgColor indexed="64"/>
          <bgColor theme="7" tint="0.5999938962981048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dxf>
    <dxf>
      <border outline="0">
        <bottom style="thin">
          <color indexed="64"/>
        </bottom>
      </border>
    </dxf>
    <dxf>
      <font>
        <b/>
        <i/>
        <strike val="0"/>
        <condense val="0"/>
        <extend val="0"/>
        <outline val="0"/>
        <shadow val="0"/>
        <u/>
        <vertAlign val="baseline"/>
        <sz val="13"/>
        <color theme="1"/>
        <name val="Amasis MT Pro"/>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dxf>
    <dxf>
      <border outline="0">
        <bottom style="thin">
          <color indexed="64"/>
        </bottom>
      </border>
    </dxf>
    <dxf>
      <font>
        <b/>
        <i/>
        <strike val="0"/>
        <condense val="0"/>
        <extend val="0"/>
        <outline val="0"/>
        <shadow val="0"/>
        <u/>
        <vertAlign val="baseline"/>
        <sz val="13"/>
        <color theme="1"/>
        <name val="Amasis MT Pro"/>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vertical="center"/>
    </dxf>
    <dxf>
      <alignment horizontal="center"/>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s>
  <tableStyles count="2" defaultTableStyle="TableStyleMedium2" defaultPivotStyle="PivotStyleLight16">
    <tableStyle name="Slicer Style 1" pivot="0" table="0" count="0" xr9:uid="{5DE67D08-6D36-4534-986D-803CF7F159F5}"/>
    <tableStyle name="Slicer Style 2" pivot="0" table="0" count="0" xr9:uid="{3E0FFC4F-8AA1-4B7B-A622-363916BC4455}"/>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Student</a:t>
            </a:r>
            <a:r>
              <a:rPr lang="en-US" baseline="0"/>
              <a:t> </a:t>
            </a:r>
            <a:r>
              <a:rPr lang="en-US"/>
              <a:t>Scores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18515932438868"/>
          <c:y val="0.12178447276940904"/>
          <c:w val="0.83552939238666113"/>
          <c:h val="0.6734327241539767"/>
        </c:manualLayout>
      </c:layout>
      <c:barChart>
        <c:barDir val="col"/>
        <c:grouping val="clustered"/>
        <c:varyColors val="0"/>
        <c:ser>
          <c:idx val="0"/>
          <c:order val="0"/>
          <c:tx>
            <c:strRef>
              <c:f>'Basic chart'!$C$3</c:f>
              <c:strCache>
                <c:ptCount val="1"/>
                <c:pt idx="0">
                  <c:v>Scores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'Basic chart'!$B$9:$B$41</c:f>
              <c:strCache>
                <c:ptCount val="28"/>
                <c:pt idx="0">
                  <c:v>CD</c:v>
                </c:pt>
                <c:pt idx="1">
                  <c:v>D</c:v>
                </c:pt>
                <c:pt idx="2">
                  <c:v>DE</c:v>
                </c:pt>
                <c:pt idx="3">
                  <c:v>E</c:v>
                </c:pt>
                <c:pt idx="4">
                  <c:v>EF</c:v>
                </c:pt>
                <c:pt idx="5">
                  <c:v>F</c:v>
                </c:pt>
                <c:pt idx="6">
                  <c:v>FG</c:v>
                </c:pt>
                <c:pt idx="7">
                  <c:v>G</c:v>
                </c:pt>
                <c:pt idx="8">
                  <c:v>GH</c:v>
                </c:pt>
                <c:pt idx="9">
                  <c:v>H</c:v>
                </c:pt>
                <c:pt idx="10">
                  <c:v>I</c:v>
                </c:pt>
                <c:pt idx="11">
                  <c:v>J</c:v>
                </c:pt>
                <c:pt idx="12">
                  <c:v>K</c:v>
                </c:pt>
                <c:pt idx="13">
                  <c:v>L</c:v>
                </c:pt>
                <c:pt idx="14">
                  <c:v>M</c:v>
                </c:pt>
                <c:pt idx="15">
                  <c:v>N</c:v>
                </c:pt>
                <c:pt idx="16">
                  <c:v>O</c:v>
                </c:pt>
                <c:pt idx="17">
                  <c:v>P</c:v>
                </c:pt>
                <c:pt idx="18">
                  <c:v>Q</c:v>
                </c:pt>
                <c:pt idx="19">
                  <c:v>R</c:v>
                </c:pt>
                <c:pt idx="20">
                  <c:v>S</c:v>
                </c:pt>
                <c:pt idx="21">
                  <c:v>T</c:v>
                </c:pt>
                <c:pt idx="22">
                  <c:v>U</c:v>
                </c:pt>
                <c:pt idx="23">
                  <c:v>V</c:v>
                </c:pt>
                <c:pt idx="24">
                  <c:v>W</c:v>
                </c:pt>
                <c:pt idx="25">
                  <c:v>X</c:v>
                </c:pt>
                <c:pt idx="26">
                  <c:v>Y</c:v>
                </c:pt>
                <c:pt idx="27">
                  <c:v>Z</c:v>
                </c:pt>
              </c:strCache>
            </c:strRef>
          </c:cat>
          <c:val>
            <c:numRef>
              <c:f>'Basic chart'!$C$9:$C$41</c:f>
              <c:numCache>
                <c:formatCode>General</c:formatCode>
                <c:ptCount val="33"/>
                <c:pt idx="0">
                  <c:v>180</c:v>
                </c:pt>
                <c:pt idx="1">
                  <c:v>120</c:v>
                </c:pt>
                <c:pt idx="2">
                  <c:v>190</c:v>
                </c:pt>
                <c:pt idx="3">
                  <c:v>100</c:v>
                </c:pt>
                <c:pt idx="4">
                  <c:v>160</c:v>
                </c:pt>
                <c:pt idx="5">
                  <c:v>190</c:v>
                </c:pt>
                <c:pt idx="6">
                  <c:v>100</c:v>
                </c:pt>
                <c:pt idx="7">
                  <c:v>200</c:v>
                </c:pt>
                <c:pt idx="8">
                  <c:v>140</c:v>
                </c:pt>
                <c:pt idx="9">
                  <c:v>190</c:v>
                </c:pt>
                <c:pt idx="10">
                  <c:v>85</c:v>
                </c:pt>
                <c:pt idx="11">
                  <c:v>200</c:v>
                </c:pt>
                <c:pt idx="12">
                  <c:v>140</c:v>
                </c:pt>
                <c:pt idx="13">
                  <c:v>180</c:v>
                </c:pt>
                <c:pt idx="14">
                  <c:v>190</c:v>
                </c:pt>
                <c:pt idx="15">
                  <c:v>160</c:v>
                </c:pt>
                <c:pt idx="16">
                  <c:v>100</c:v>
                </c:pt>
                <c:pt idx="17">
                  <c:v>140</c:v>
                </c:pt>
                <c:pt idx="18">
                  <c:v>130</c:v>
                </c:pt>
                <c:pt idx="19">
                  <c:v>200</c:v>
                </c:pt>
                <c:pt idx="20">
                  <c:v>150</c:v>
                </c:pt>
                <c:pt idx="21">
                  <c:v>120</c:v>
                </c:pt>
                <c:pt idx="22">
                  <c:v>140</c:v>
                </c:pt>
                <c:pt idx="23">
                  <c:v>80</c:v>
                </c:pt>
                <c:pt idx="24">
                  <c:v>130</c:v>
                </c:pt>
                <c:pt idx="25">
                  <c:v>190</c:v>
                </c:pt>
                <c:pt idx="26">
                  <c:v>190</c:v>
                </c:pt>
                <c:pt idx="27">
                  <c:v>150</c:v>
                </c:pt>
              </c:numCache>
            </c:numRef>
          </c:val>
          <c:extLst>
            <c:ext xmlns:c16="http://schemas.microsoft.com/office/drawing/2014/chart" uri="{C3380CC4-5D6E-409C-BE32-E72D297353CC}">
              <c16:uniqueId val="{00000000-45BC-4C48-9EE5-89324EF88EA6}"/>
            </c:ext>
          </c:extLst>
        </c:ser>
        <c:dLbls>
          <c:dLblPos val="outEnd"/>
          <c:showLegendKey val="0"/>
          <c:showVal val="1"/>
          <c:showCatName val="0"/>
          <c:showSerName val="0"/>
          <c:showPercent val="0"/>
          <c:showBubbleSize val="0"/>
        </c:dLbls>
        <c:gapWidth val="100"/>
        <c:overlap val="-24"/>
        <c:axId val="1431112575"/>
        <c:axId val="1609188111"/>
      </c:barChart>
      <c:catAx>
        <c:axId val="1431112575"/>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1050" b="1">
                    <a:solidFill>
                      <a:schemeClr val="bg1"/>
                    </a:solidFill>
                  </a:rPr>
                  <a:t>Student</a:t>
                </a:r>
                <a:r>
                  <a:rPr lang="en-IN" sz="1050" b="1" baseline="0">
                    <a:solidFill>
                      <a:schemeClr val="bg1"/>
                    </a:solidFill>
                  </a:rPr>
                  <a:t> name</a:t>
                </a:r>
              </a:p>
            </c:rich>
          </c:tx>
          <c:layout>
            <c:manualLayout>
              <c:xMode val="edge"/>
              <c:yMode val="edge"/>
              <c:x val="0.43874190726159235"/>
              <c:y val="0.88432852143482066"/>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188111"/>
        <c:crosses val="autoZero"/>
        <c:auto val="1"/>
        <c:lblAlgn val="ctr"/>
        <c:lblOffset val="100"/>
        <c:noMultiLvlLbl val="0"/>
      </c:catAx>
      <c:valAx>
        <c:axId val="1609188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050" b="1">
                    <a:solidFill>
                      <a:schemeClr val="bg1"/>
                    </a:solidFill>
                  </a:rPr>
                  <a:t>Scores</a:t>
                </a:r>
              </a:p>
              <a:p>
                <a:pPr>
                  <a:defRPr/>
                </a:pPr>
                <a:endParaRPr lang="en-IN"/>
              </a:p>
            </c:rich>
          </c:tx>
          <c:layout>
            <c:manualLayout>
              <c:xMode val="edge"/>
              <c:yMode val="edge"/>
              <c:x val="1.0091738191661924E-2"/>
              <c:y val="0.453386678345392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11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Item Prices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416666666666666E-2"/>
          <c:y val="0.23495435080184357"/>
          <c:w val="0.96666666666666667"/>
          <c:h val="0.65900298920968214"/>
        </c:manualLayout>
      </c:layout>
      <c:pie3DChart>
        <c:varyColors val="1"/>
        <c:ser>
          <c:idx val="0"/>
          <c:order val="0"/>
          <c:tx>
            <c:strRef>
              <c:f>'Basic chart'!$C$47</c:f>
              <c:strCache>
                <c:ptCount val="1"/>
                <c:pt idx="0">
                  <c:v>Prices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C9E-4CB6-AB8B-513822E1C75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C9E-4CB6-AB8B-513822E1C75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C9E-4CB6-AB8B-513822E1C75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5C9E-4CB6-AB8B-513822E1C75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C9E-4CB6-AB8B-513822E1C755}"/>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5C9E-4CB6-AB8B-513822E1C755}"/>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C9E-4CB6-AB8B-513822E1C755}"/>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5C9E-4CB6-AB8B-513822E1C755}"/>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C9E-4CB6-AB8B-513822E1C755}"/>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5C9E-4CB6-AB8B-513822E1C755}"/>
              </c:ext>
            </c:extLst>
          </c:dPt>
          <c:dLbls>
            <c:dLbl>
              <c:idx val="0"/>
              <c:layout>
                <c:manualLayout>
                  <c:x val="-9.6286107290233833E-2"/>
                  <c:y val="-3.4293156654599305E-1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C9E-4CB6-AB8B-513822E1C755}"/>
                </c:ext>
              </c:extLst>
            </c:dLbl>
            <c:dLbl>
              <c:idx val="1"/>
              <c:layout>
                <c:manualLayout>
                  <c:x val="5.0435580009170103E-2"/>
                  <c:y val="-0.1047512158623269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5C9E-4CB6-AB8B-513822E1C755}"/>
                </c:ext>
              </c:extLst>
            </c:dLbl>
            <c:dLbl>
              <c:idx val="2"/>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C9E-4CB6-AB8B-513822E1C755}"/>
                </c:ext>
              </c:extLst>
            </c:dLbl>
            <c:dLbl>
              <c:idx val="3"/>
              <c:layout>
                <c:manualLayout>
                  <c:x val="4.3558000917010543E-2"/>
                  <c:y val="4.8634493078937524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5C9E-4CB6-AB8B-513822E1C755}"/>
                </c:ext>
              </c:extLst>
            </c:dLbl>
            <c:dLbl>
              <c:idx val="4"/>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C9E-4CB6-AB8B-513822E1C755}"/>
                </c:ext>
              </c:extLst>
            </c:dLbl>
            <c:dLbl>
              <c:idx val="5"/>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5C9E-4CB6-AB8B-513822E1C755}"/>
                </c:ext>
              </c:extLst>
            </c:dLbl>
            <c:dLbl>
              <c:idx val="6"/>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C9E-4CB6-AB8B-513822E1C755}"/>
                </c:ext>
              </c:extLst>
            </c:dLbl>
            <c:dLbl>
              <c:idx val="7"/>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5C9E-4CB6-AB8B-513822E1C755}"/>
                </c:ext>
              </c:extLst>
            </c:dLbl>
            <c:dLbl>
              <c:idx val="8"/>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C9E-4CB6-AB8B-513822E1C755}"/>
                </c:ext>
              </c:extLst>
            </c:dLbl>
            <c:dLbl>
              <c:idx val="9"/>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5C9E-4CB6-AB8B-513822E1C755}"/>
                </c:ext>
              </c:extLst>
            </c:dLbl>
            <c:spPr>
              <a:solidFill>
                <a:sysClr val="window" lastClr="FFFFFF"/>
              </a:solidFill>
              <a:ln>
                <a:solidFill>
                  <a:srgbClr val="4472C4"/>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chart'!$B$48:$B$57</c:f>
              <c:strCache>
                <c:ptCount val="10"/>
                <c:pt idx="0">
                  <c:v>Beauty products</c:v>
                </c:pt>
                <c:pt idx="1">
                  <c:v>Mobile Accessories</c:v>
                </c:pt>
                <c:pt idx="2">
                  <c:v>Home décor</c:v>
                </c:pt>
                <c:pt idx="3">
                  <c:v>Kitchen ware</c:v>
                </c:pt>
                <c:pt idx="4">
                  <c:v>Smart watch</c:v>
                </c:pt>
                <c:pt idx="5">
                  <c:v>Baby products</c:v>
                </c:pt>
                <c:pt idx="6">
                  <c:v>Home décor</c:v>
                </c:pt>
                <c:pt idx="7">
                  <c:v>Jewellery</c:v>
                </c:pt>
                <c:pt idx="8">
                  <c:v>Perfumes</c:v>
                </c:pt>
                <c:pt idx="9">
                  <c:v>Personal care</c:v>
                </c:pt>
              </c:strCache>
            </c:strRef>
          </c:cat>
          <c:val>
            <c:numRef>
              <c:f>'Basic chart'!$C$48:$C$57</c:f>
              <c:numCache>
                <c:formatCode>"₹"\ #,##0</c:formatCode>
                <c:ptCount val="10"/>
                <c:pt idx="0">
                  <c:v>5000</c:v>
                </c:pt>
                <c:pt idx="1">
                  <c:v>6000</c:v>
                </c:pt>
                <c:pt idx="2">
                  <c:v>7000</c:v>
                </c:pt>
                <c:pt idx="3">
                  <c:v>8000</c:v>
                </c:pt>
                <c:pt idx="4">
                  <c:v>9000</c:v>
                </c:pt>
                <c:pt idx="5">
                  <c:v>10000</c:v>
                </c:pt>
                <c:pt idx="6">
                  <c:v>10000</c:v>
                </c:pt>
                <c:pt idx="7">
                  <c:v>15000</c:v>
                </c:pt>
                <c:pt idx="8">
                  <c:v>18000</c:v>
                </c:pt>
                <c:pt idx="9">
                  <c:v>25000</c:v>
                </c:pt>
              </c:numCache>
            </c:numRef>
          </c:val>
          <c:extLst>
            <c:ext xmlns:c16="http://schemas.microsoft.com/office/drawing/2014/chart" uri="{C3380CC4-5D6E-409C-BE32-E72D297353CC}">
              <c16:uniqueId val="{00000000-5C9E-4CB6-AB8B-513822E1C75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Prices</a:t>
            </a:r>
            <a:r>
              <a:rPr lang="en-IN" b="1" baseline="0">
                <a:solidFill>
                  <a:sysClr val="windowText" lastClr="000000"/>
                </a:solidFill>
              </a:rPr>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'Basic chart'!$C$66</c:f>
              <c:strCache>
                <c:ptCount val="1"/>
                <c:pt idx="0">
                  <c:v>Prices</c:v>
                </c:pt>
              </c:strCache>
            </c:strRef>
          </c:tx>
          <c:spPr>
            <a:solidFill>
              <a:schemeClr val="accent1"/>
            </a:solidFill>
            <a:ln>
              <a:noFill/>
            </a:ln>
            <a:effectLst/>
            <a:sp3d/>
          </c:spPr>
          <c:cat>
            <c:strRef>
              <c:f>'Basic chart'!$B$67:$B$76</c:f>
              <c:strCache>
                <c:ptCount val="10"/>
                <c:pt idx="0">
                  <c:v>Beauty products</c:v>
                </c:pt>
                <c:pt idx="1">
                  <c:v>Mobile Accessories</c:v>
                </c:pt>
                <c:pt idx="2">
                  <c:v>Home décor</c:v>
                </c:pt>
                <c:pt idx="3">
                  <c:v>Kitchen ware</c:v>
                </c:pt>
                <c:pt idx="4">
                  <c:v>Smart watch</c:v>
                </c:pt>
                <c:pt idx="5">
                  <c:v>Baby products</c:v>
                </c:pt>
                <c:pt idx="6">
                  <c:v>Home décor</c:v>
                </c:pt>
                <c:pt idx="7">
                  <c:v>Jewellery</c:v>
                </c:pt>
                <c:pt idx="8">
                  <c:v>Perfumes</c:v>
                </c:pt>
                <c:pt idx="9">
                  <c:v>Personal care</c:v>
                </c:pt>
              </c:strCache>
            </c:strRef>
          </c:cat>
          <c:val>
            <c:numRef>
              <c:f>'Basic chart'!$C$67:$C$76</c:f>
              <c:numCache>
                <c:formatCode>"₹"\ #,##0</c:formatCode>
                <c:ptCount val="10"/>
                <c:pt idx="0">
                  <c:v>5000</c:v>
                </c:pt>
                <c:pt idx="1">
                  <c:v>6000</c:v>
                </c:pt>
                <c:pt idx="2">
                  <c:v>7000</c:v>
                </c:pt>
                <c:pt idx="3">
                  <c:v>8000</c:v>
                </c:pt>
                <c:pt idx="4">
                  <c:v>9000</c:v>
                </c:pt>
                <c:pt idx="5">
                  <c:v>16000</c:v>
                </c:pt>
                <c:pt idx="6">
                  <c:v>10000</c:v>
                </c:pt>
                <c:pt idx="7">
                  <c:v>15000</c:v>
                </c:pt>
                <c:pt idx="8">
                  <c:v>18000</c:v>
                </c:pt>
                <c:pt idx="9">
                  <c:v>25000</c:v>
                </c:pt>
              </c:numCache>
            </c:numRef>
          </c:val>
          <c:smooth val="0"/>
          <c:extLst>
            <c:ext xmlns:c16="http://schemas.microsoft.com/office/drawing/2014/chart" uri="{C3380CC4-5D6E-409C-BE32-E72D297353CC}">
              <c16:uniqueId val="{00000000-F42D-4465-8461-0D25074EF295}"/>
            </c:ext>
          </c:extLst>
        </c:ser>
        <c:ser>
          <c:idx val="1"/>
          <c:order val="1"/>
          <c:tx>
            <c:strRef>
              <c:f>'Basic chart'!$D$66</c:f>
              <c:strCache>
                <c:ptCount val="1"/>
                <c:pt idx="0">
                  <c:v>Dates</c:v>
                </c:pt>
              </c:strCache>
            </c:strRef>
          </c:tx>
          <c:spPr>
            <a:solidFill>
              <a:schemeClr val="accent2"/>
            </a:solidFill>
            <a:ln>
              <a:noFill/>
            </a:ln>
            <a:effectLst/>
            <a:sp3d/>
          </c:spPr>
          <c:cat>
            <c:strRef>
              <c:f>'Basic chart'!$B$67:$B$76</c:f>
              <c:strCache>
                <c:ptCount val="10"/>
                <c:pt idx="0">
                  <c:v>Beauty products</c:v>
                </c:pt>
                <c:pt idx="1">
                  <c:v>Mobile Accessories</c:v>
                </c:pt>
                <c:pt idx="2">
                  <c:v>Home décor</c:v>
                </c:pt>
                <c:pt idx="3">
                  <c:v>Kitchen ware</c:v>
                </c:pt>
                <c:pt idx="4">
                  <c:v>Smart watch</c:v>
                </c:pt>
                <c:pt idx="5">
                  <c:v>Baby products</c:v>
                </c:pt>
                <c:pt idx="6">
                  <c:v>Home décor</c:v>
                </c:pt>
                <c:pt idx="7">
                  <c:v>Jewellery</c:v>
                </c:pt>
                <c:pt idx="8">
                  <c:v>Perfumes</c:v>
                </c:pt>
                <c:pt idx="9">
                  <c:v>Personal care</c:v>
                </c:pt>
              </c:strCache>
            </c:strRef>
          </c:cat>
          <c:val>
            <c:numRef>
              <c:f>'Basic chart'!$D$67:$D$76</c:f>
              <c:numCache>
                <c:formatCode>m/d/yyyy</c:formatCode>
                <c:ptCount val="10"/>
                <c:pt idx="0">
                  <c:v>45816</c:v>
                </c:pt>
                <c:pt idx="1">
                  <c:v>45602</c:v>
                </c:pt>
                <c:pt idx="2">
                  <c:v>45124</c:v>
                </c:pt>
                <c:pt idx="3">
                  <c:v>45301</c:v>
                </c:pt>
                <c:pt idx="4">
                  <c:v>45205</c:v>
                </c:pt>
                <c:pt idx="5">
                  <c:v>45292</c:v>
                </c:pt>
                <c:pt idx="6">
                  <c:v>45679</c:v>
                </c:pt>
                <c:pt idx="7">
                  <c:v>45294</c:v>
                </c:pt>
                <c:pt idx="8">
                  <c:v>44945</c:v>
                </c:pt>
                <c:pt idx="9">
                  <c:v>45432</c:v>
                </c:pt>
              </c:numCache>
            </c:numRef>
          </c:val>
          <c:smooth val="0"/>
          <c:extLst>
            <c:ext xmlns:c16="http://schemas.microsoft.com/office/drawing/2014/chart" uri="{C3380CC4-5D6E-409C-BE32-E72D297353CC}">
              <c16:uniqueId val="{00000001-F42D-4465-8461-0D25074EF295}"/>
            </c:ext>
          </c:extLst>
        </c:ser>
        <c:dLbls>
          <c:showLegendKey val="0"/>
          <c:showVal val="0"/>
          <c:showCatName val="0"/>
          <c:showSerName val="0"/>
          <c:showPercent val="0"/>
          <c:showBubbleSize val="0"/>
        </c:dLbls>
        <c:axId val="1370779087"/>
        <c:axId val="1609176591"/>
        <c:axId val="1364358911"/>
      </c:line3DChart>
      <c:catAx>
        <c:axId val="1370779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176591"/>
        <c:crosses val="autoZero"/>
        <c:auto val="1"/>
        <c:lblAlgn val="ctr"/>
        <c:lblOffset val="100"/>
        <c:noMultiLvlLbl val="0"/>
      </c:catAx>
      <c:valAx>
        <c:axId val="1609176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779087"/>
        <c:crosses val="autoZero"/>
        <c:crossBetween val="between"/>
      </c:valAx>
      <c:serAx>
        <c:axId val="13643589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176591"/>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[Data_Cleaning.xlsx] Pivot table and chart!PivotTable1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and chart'!$B$3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 Pivot table and chart'!$A$4:$A$31</c:f>
              <c:multiLvlStrCache>
                <c:ptCount val="19"/>
                <c:lvl>
                  <c:pt idx="0">
                    <c:v>Beauty products</c:v>
                  </c:pt>
                  <c:pt idx="1">
                    <c:v>Home décor</c:v>
                  </c:pt>
                  <c:pt idx="2">
                    <c:v>Kitchen ware</c:v>
                  </c:pt>
                  <c:pt idx="3">
                    <c:v>Mobile Accessories</c:v>
                  </c:pt>
                  <c:pt idx="4">
                    <c:v>Baby products</c:v>
                  </c:pt>
                  <c:pt idx="5">
                    <c:v>Jewellery</c:v>
                  </c:pt>
                  <c:pt idx="6">
                    <c:v>Perfumes</c:v>
                  </c:pt>
                  <c:pt idx="7">
                    <c:v>Smart watch</c:v>
                  </c:pt>
                  <c:pt idx="8">
                    <c:v>Wrist Watch</c:v>
                  </c:pt>
                  <c:pt idx="9">
                    <c:v>Bass Headphones</c:v>
                  </c:pt>
                  <c:pt idx="10">
                    <c:v>Beauty products</c:v>
                  </c:pt>
                  <c:pt idx="11">
                    <c:v>Home décor</c:v>
                  </c:pt>
                  <c:pt idx="12">
                    <c:v>Jewellery</c:v>
                  </c:pt>
                  <c:pt idx="13">
                    <c:v>Pet supplies</c:v>
                  </c:pt>
                  <c:pt idx="14">
                    <c:v>Beverages</c:v>
                  </c:pt>
                  <c:pt idx="15">
                    <c:v>Books</c:v>
                  </c:pt>
                  <c:pt idx="16">
                    <c:v>Perfumes</c:v>
                  </c:pt>
                  <c:pt idx="17">
                    <c:v>Smart watch</c:v>
                  </c:pt>
                  <c:pt idx="18">
                    <c:v>Wrist Watch</c:v>
                  </c:pt>
                </c:lvl>
                <c:lvl>
                  <c:pt idx="0">
                    <c:v>East</c:v>
                  </c:pt>
                  <c:pt idx="4">
                    <c:v>North</c:v>
                  </c:pt>
                  <c:pt idx="9">
                    <c:v>South</c:v>
                  </c:pt>
                  <c:pt idx="14">
                    <c:v>West</c:v>
                  </c:pt>
                </c:lvl>
              </c:multiLvlStrCache>
            </c:multiLvlStrRef>
          </c:cat>
          <c:val>
            <c:numRef>
              <c:f>' Pivot table and chart'!$B$4:$B$31</c:f>
              <c:numCache>
                <c:formatCode>"₹"\ #,##0</c:formatCode>
                <c:ptCount val="19"/>
                <c:pt idx="0">
                  <c:v>45000</c:v>
                </c:pt>
                <c:pt idx="1">
                  <c:v>7000</c:v>
                </c:pt>
                <c:pt idx="2">
                  <c:v>8000</c:v>
                </c:pt>
                <c:pt idx="3">
                  <c:v>6000</c:v>
                </c:pt>
                <c:pt idx="4">
                  <c:v>10000</c:v>
                </c:pt>
                <c:pt idx="5">
                  <c:v>15000</c:v>
                </c:pt>
                <c:pt idx="6">
                  <c:v>18000</c:v>
                </c:pt>
                <c:pt idx="7">
                  <c:v>50000</c:v>
                </c:pt>
                <c:pt idx="8">
                  <c:v>25000</c:v>
                </c:pt>
                <c:pt idx="9">
                  <c:v>30000</c:v>
                </c:pt>
                <c:pt idx="10">
                  <c:v>5000</c:v>
                </c:pt>
                <c:pt idx="11">
                  <c:v>10000</c:v>
                </c:pt>
                <c:pt idx="12">
                  <c:v>35000</c:v>
                </c:pt>
                <c:pt idx="13">
                  <c:v>30000</c:v>
                </c:pt>
                <c:pt idx="14">
                  <c:v>36000</c:v>
                </c:pt>
                <c:pt idx="15">
                  <c:v>40000</c:v>
                </c:pt>
                <c:pt idx="16">
                  <c:v>95000</c:v>
                </c:pt>
                <c:pt idx="17">
                  <c:v>9000</c:v>
                </c:pt>
                <c:pt idx="18">
                  <c:v>80000</c:v>
                </c:pt>
              </c:numCache>
            </c:numRef>
          </c:val>
          <c:extLst>
            <c:ext xmlns:c16="http://schemas.microsoft.com/office/drawing/2014/chart" uri="{C3380CC4-5D6E-409C-BE32-E72D297353CC}">
              <c16:uniqueId val="{00000002-E332-4089-AEAB-7993E6ABD56E}"/>
            </c:ext>
          </c:extLst>
        </c:ser>
        <c:dLbls>
          <c:showLegendKey val="0"/>
          <c:showVal val="0"/>
          <c:showCatName val="0"/>
          <c:showSerName val="0"/>
          <c:showPercent val="0"/>
          <c:showBubbleSize val="0"/>
        </c:dLbls>
        <c:gapWidth val="100"/>
        <c:overlap val="-24"/>
        <c:axId val="2021120159"/>
        <c:axId val="2111101103"/>
      </c:barChart>
      <c:catAx>
        <c:axId val="2021120159"/>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1400" b="1"/>
                  <a:t>Regions</a:t>
                </a:r>
              </a:p>
            </c:rich>
          </c:tx>
          <c:layout>
            <c:manualLayout>
              <c:xMode val="edge"/>
              <c:yMode val="edge"/>
              <c:x val="0.48479982334476562"/>
              <c:y val="0.88160843002447109"/>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101103"/>
        <c:crosses val="autoZero"/>
        <c:auto val="1"/>
        <c:lblAlgn val="ctr"/>
        <c:lblOffset val="100"/>
        <c:noMultiLvlLbl val="0"/>
      </c:catAx>
      <c:valAx>
        <c:axId val="21111011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100" b="1"/>
                  <a:t>Price</a:t>
                </a:r>
              </a:p>
            </c:rich>
          </c:tx>
          <c:layout>
            <c:manualLayout>
              <c:xMode val="edge"/>
              <c:yMode val="edge"/>
              <c:x val="1.7749378771742989E-2"/>
              <c:y val="0.3622588270546520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1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[Data_Cleaning.xlsx] Pivot table Timeline!PivotTable1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29103788376699"/>
          <c:y val="9.7884170398361933E-2"/>
          <c:w val="0.54862494684072838"/>
          <c:h val="0.64817715703084688"/>
        </c:manualLayout>
      </c:layout>
      <c:barChart>
        <c:barDir val="col"/>
        <c:grouping val="clustered"/>
        <c:varyColors val="0"/>
        <c:ser>
          <c:idx val="0"/>
          <c:order val="0"/>
          <c:tx>
            <c:strRef>
              <c:f>' Pivot table Timeline'!$B$3:$B$4</c:f>
              <c:strCache>
                <c:ptCount val="1"/>
                <c:pt idx="0">
                  <c:v>Jan</c:v>
                </c:pt>
              </c:strCache>
            </c:strRef>
          </c:tx>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Timeline'!$B$5:$B$9</c:f>
              <c:numCache>
                <c:formatCode>"₹"\ #,##0</c:formatCode>
                <c:ptCount val="4"/>
                <c:pt idx="0">
                  <c:v>58000</c:v>
                </c:pt>
                <c:pt idx="1">
                  <c:v>103000</c:v>
                </c:pt>
                <c:pt idx="2">
                  <c:v>40000</c:v>
                </c:pt>
                <c:pt idx="3">
                  <c:v>125000</c:v>
                </c:pt>
              </c:numCache>
            </c:numRef>
          </c:val>
          <c:extLst>
            <c:ext xmlns:c16="http://schemas.microsoft.com/office/drawing/2014/chart" uri="{C3380CC4-5D6E-409C-BE32-E72D297353CC}">
              <c16:uniqueId val="{00000000-F8F6-45C0-B3CC-3A2B5548FFCE}"/>
            </c:ext>
          </c:extLst>
        </c:ser>
        <c:ser>
          <c:idx val="1"/>
          <c:order val="1"/>
          <c:tx>
            <c:strRef>
              <c:f>' Pivot table Timeline'!$C$3:$C$4</c:f>
              <c:strCache>
                <c:ptCount val="1"/>
                <c:pt idx="0">
                  <c:v>Mar</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Timeline'!$C$5:$C$9</c:f>
              <c:numCache>
                <c:formatCode>"₹"\ #,##0</c:formatCode>
                <c:ptCount val="4"/>
                <c:pt idx="2">
                  <c:v>5000</c:v>
                </c:pt>
              </c:numCache>
            </c:numRef>
          </c:val>
          <c:extLst>
            <c:ext xmlns:c16="http://schemas.microsoft.com/office/drawing/2014/chart" uri="{C3380CC4-5D6E-409C-BE32-E72D297353CC}">
              <c16:uniqueId val="{00000013-F8F6-45C0-B3CC-3A2B5548FFCE}"/>
            </c:ext>
          </c:extLst>
        </c:ser>
        <c:ser>
          <c:idx val="2"/>
          <c:order val="2"/>
          <c:tx>
            <c:strRef>
              <c:f>' Pivot table Timeline'!$D$3:$D$4</c:f>
              <c:strCache>
                <c:ptCount val="1"/>
                <c:pt idx="0">
                  <c:v>Apr</c:v>
                </c:pt>
              </c:strCache>
            </c:strRef>
          </c:tx>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Timeline'!$D$5:$D$9</c:f>
              <c:numCache>
                <c:formatCode>"₹"\ #,##0</c:formatCode>
                <c:ptCount val="4"/>
                <c:pt idx="0">
                  <c:v>8000</c:v>
                </c:pt>
              </c:numCache>
            </c:numRef>
          </c:val>
          <c:extLst>
            <c:ext xmlns:c16="http://schemas.microsoft.com/office/drawing/2014/chart" uri="{C3380CC4-5D6E-409C-BE32-E72D297353CC}">
              <c16:uniqueId val="{00000014-F8F6-45C0-B3CC-3A2B5548FFCE}"/>
            </c:ext>
          </c:extLst>
        </c:ser>
        <c:ser>
          <c:idx val="3"/>
          <c:order val="3"/>
          <c:tx>
            <c:strRef>
              <c:f>' Pivot table Timeline'!$E$3:$E$4</c:f>
              <c:strCache>
                <c:ptCount val="1"/>
                <c:pt idx="0">
                  <c:v>May</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Timeline'!$E$5:$E$9</c:f>
              <c:numCache>
                <c:formatCode>"₹"\ #,##0</c:formatCode>
                <c:ptCount val="4"/>
                <c:pt idx="1">
                  <c:v>15000</c:v>
                </c:pt>
              </c:numCache>
            </c:numRef>
          </c:val>
          <c:extLst>
            <c:ext xmlns:c16="http://schemas.microsoft.com/office/drawing/2014/chart" uri="{C3380CC4-5D6E-409C-BE32-E72D297353CC}">
              <c16:uniqueId val="{00000015-F8F6-45C0-B3CC-3A2B5548FFCE}"/>
            </c:ext>
          </c:extLst>
        </c:ser>
        <c:ser>
          <c:idx val="4"/>
          <c:order val="4"/>
          <c:tx>
            <c:strRef>
              <c:f>' Pivot table Timeline'!$F$3:$F$4</c:f>
              <c:strCache>
                <c:ptCount val="1"/>
                <c:pt idx="0">
                  <c:v>Jun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Timeline'!$F$5:$F$9</c:f>
              <c:numCache>
                <c:formatCode>"₹"\ #,##0</c:formatCode>
                <c:ptCount val="4"/>
                <c:pt idx="3">
                  <c:v>40000</c:v>
                </c:pt>
              </c:numCache>
            </c:numRef>
          </c:val>
          <c:extLst>
            <c:ext xmlns:c16="http://schemas.microsoft.com/office/drawing/2014/chart" uri="{C3380CC4-5D6E-409C-BE32-E72D297353CC}">
              <c16:uniqueId val="{00000016-F8F6-45C0-B3CC-3A2B5548FFCE}"/>
            </c:ext>
          </c:extLst>
        </c:ser>
        <c:ser>
          <c:idx val="5"/>
          <c:order val="5"/>
          <c:tx>
            <c:strRef>
              <c:f>' Pivot table Timeline'!$G$3:$G$4</c:f>
              <c:strCache>
                <c:ptCount val="1"/>
                <c:pt idx="0">
                  <c:v>Jul</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Timeline'!$G$5:$G$9</c:f>
              <c:numCache>
                <c:formatCode>"₹"\ #,##0</c:formatCode>
                <c:ptCount val="4"/>
                <c:pt idx="3">
                  <c:v>25000</c:v>
                </c:pt>
              </c:numCache>
            </c:numRef>
          </c:val>
          <c:extLst>
            <c:ext xmlns:c16="http://schemas.microsoft.com/office/drawing/2014/chart" uri="{C3380CC4-5D6E-409C-BE32-E72D297353CC}">
              <c16:uniqueId val="{00000017-F8F6-45C0-B3CC-3A2B5548FFCE}"/>
            </c:ext>
          </c:extLst>
        </c:ser>
        <c:ser>
          <c:idx val="6"/>
          <c:order val="6"/>
          <c:tx>
            <c:strRef>
              <c:f>' Pivot table Timeline'!$H$3:$H$4</c:f>
              <c:strCache>
                <c:ptCount val="1"/>
                <c:pt idx="0">
                  <c:v>Aug</c:v>
                </c:pt>
              </c:strCache>
            </c:strRef>
          </c:tx>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Timeline'!$H$5:$H$9</c:f>
              <c:numCache>
                <c:formatCode>"₹"\ #,##0</c:formatCode>
                <c:ptCount val="4"/>
                <c:pt idx="2">
                  <c:v>30000</c:v>
                </c:pt>
              </c:numCache>
            </c:numRef>
          </c:val>
          <c:extLst>
            <c:ext xmlns:c16="http://schemas.microsoft.com/office/drawing/2014/chart" uri="{C3380CC4-5D6E-409C-BE32-E72D297353CC}">
              <c16:uniqueId val="{00000018-F8F6-45C0-B3CC-3A2B5548FFCE}"/>
            </c:ext>
          </c:extLst>
        </c:ser>
        <c:ser>
          <c:idx val="7"/>
          <c:order val="7"/>
          <c:tx>
            <c:strRef>
              <c:f>' Pivot table Timeline'!$I$3:$I$4</c:f>
              <c:strCache>
                <c:ptCount val="1"/>
                <c:pt idx="0">
                  <c:v>Sep</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Timeline'!$I$5:$I$9</c:f>
              <c:numCache>
                <c:formatCode>"₹"\ #,##0</c:formatCode>
                <c:ptCount val="4"/>
                <c:pt idx="2">
                  <c:v>35000</c:v>
                </c:pt>
              </c:numCache>
            </c:numRef>
          </c:val>
          <c:extLst>
            <c:ext xmlns:c16="http://schemas.microsoft.com/office/drawing/2014/chart" uri="{C3380CC4-5D6E-409C-BE32-E72D297353CC}">
              <c16:uniqueId val="{00000019-F8F6-45C0-B3CC-3A2B5548FFCE}"/>
            </c:ext>
          </c:extLst>
        </c:ser>
        <c:ser>
          <c:idx val="8"/>
          <c:order val="8"/>
          <c:tx>
            <c:strRef>
              <c:f>' Pivot table Timeline'!$J$3:$J$4</c:f>
              <c:strCache>
                <c:ptCount val="1"/>
                <c:pt idx="0">
                  <c:v>Nov</c:v>
                </c:pt>
              </c:strCache>
            </c:strRef>
          </c:tx>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table Timeline'!$A$5:$A$9</c:f>
              <c:strCache>
                <c:ptCount val="4"/>
                <c:pt idx="0">
                  <c:v>East</c:v>
                </c:pt>
                <c:pt idx="1">
                  <c:v>North</c:v>
                </c:pt>
                <c:pt idx="2">
                  <c:v>South</c:v>
                </c:pt>
                <c:pt idx="3">
                  <c:v>West</c:v>
                </c:pt>
              </c:strCache>
            </c:strRef>
          </c:cat>
          <c:val>
            <c:numRef>
              <c:f>' Pivot table Timeline'!$J$5:$J$9</c:f>
              <c:numCache>
                <c:formatCode>"₹"\ #,##0</c:formatCode>
                <c:ptCount val="4"/>
                <c:pt idx="3">
                  <c:v>70000</c:v>
                </c:pt>
              </c:numCache>
            </c:numRef>
          </c:val>
          <c:extLst>
            <c:ext xmlns:c16="http://schemas.microsoft.com/office/drawing/2014/chart" uri="{C3380CC4-5D6E-409C-BE32-E72D297353CC}">
              <c16:uniqueId val="{0000001A-F8F6-45C0-B3CC-3A2B5548FFCE}"/>
            </c:ext>
          </c:extLst>
        </c:ser>
        <c:dLbls>
          <c:showLegendKey val="0"/>
          <c:showVal val="0"/>
          <c:showCatName val="0"/>
          <c:showSerName val="0"/>
          <c:showPercent val="0"/>
          <c:showBubbleSize val="0"/>
        </c:dLbls>
        <c:gapWidth val="100"/>
        <c:axId val="2021120159"/>
        <c:axId val="2111101103"/>
      </c:barChart>
      <c:catAx>
        <c:axId val="20211201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layout>
            <c:manualLayout>
              <c:xMode val="edge"/>
              <c:yMode val="edge"/>
              <c:x val="0.48479982334476562"/>
              <c:y val="0.8816084300244710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101103"/>
        <c:crosses val="autoZero"/>
        <c:auto val="1"/>
        <c:lblAlgn val="ctr"/>
        <c:lblOffset val="100"/>
        <c:noMultiLvlLbl val="0"/>
      </c:catAx>
      <c:valAx>
        <c:axId val="21111011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a:t>
                </a:r>
              </a:p>
            </c:rich>
          </c:tx>
          <c:layout>
            <c:manualLayout>
              <c:xMode val="edge"/>
              <c:yMode val="edge"/>
              <c:x val="1.7749378771742989E-2"/>
              <c:y val="0.3622588270546520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1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b="1">
                <a:latin typeface="Calibri" panose="020F0502020204030204" pitchFamily="34" charset="0"/>
                <a:ea typeface="Calibri" panose="020F0502020204030204" pitchFamily="34" charset="0"/>
                <a:cs typeface="Calibri" panose="020F0502020204030204" pitchFamily="34" charset="0"/>
              </a:rPr>
              <a:t>Sales Compare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35725061116331"/>
          <c:y val="0.18256698527657306"/>
          <c:w val="0.78089588081325223"/>
          <c:h val="0.55622570000326721"/>
        </c:manualLayout>
      </c:layout>
      <c:barChart>
        <c:barDir val="col"/>
        <c:grouping val="clustered"/>
        <c:varyColors val="0"/>
        <c:ser>
          <c:idx val="0"/>
          <c:order val="0"/>
          <c:tx>
            <c:strRef>
              <c:f>'Cleaned Data for Dashboard'!$A$2</c:f>
              <c:strCache>
                <c:ptCount val="1"/>
                <c:pt idx="0">
                  <c:v>Antibiotics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Dashboard'!$B$2:$F$2</c15:sqref>
                  </c15:fullRef>
                </c:ext>
              </c:extLst>
              <c:f>('Cleaned Data for Dashboard'!$B$2:$C$2,'Cleaned Data for Dashboard'!$E$2:$F$2)</c:f>
              <c:numCache>
                <c:formatCode>"₹"\ #,##0.00</c:formatCode>
                <c:ptCount val="4"/>
                <c:pt idx="0">
                  <c:v>432521</c:v>
                </c:pt>
                <c:pt idx="1">
                  <c:v>227724</c:v>
                </c:pt>
                <c:pt idx="2">
                  <c:v>182911</c:v>
                </c:pt>
                <c:pt idx="3">
                  <c:v>182000</c:v>
                </c:pt>
              </c:numCache>
            </c:numRef>
          </c:val>
          <c:extLst>
            <c:ext xmlns:c16="http://schemas.microsoft.com/office/drawing/2014/chart" uri="{C3380CC4-5D6E-409C-BE32-E72D297353CC}">
              <c16:uniqueId val="{00000000-8EE3-49EE-84E8-11DCF2C700AB}"/>
            </c:ext>
          </c:extLst>
        </c:ser>
        <c:ser>
          <c:idx val="1"/>
          <c:order val="1"/>
          <c:tx>
            <c:strRef>
              <c:f>'Cleaned Data for Dashboard'!$A$3</c:f>
              <c:strCache>
                <c:ptCount val="1"/>
                <c:pt idx="0">
                  <c:v>Laxatives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Dashboard'!$B$3:$F$3</c15:sqref>
                  </c15:fullRef>
                </c:ext>
              </c:extLst>
              <c:f>('Cleaned Data for Dashboard'!$B$3:$C$3,'Cleaned Data for Dashboard'!$E$3:$F$3)</c:f>
              <c:numCache>
                <c:formatCode>"₹"\ #,##0.00</c:formatCode>
                <c:ptCount val="4"/>
                <c:pt idx="0">
                  <c:v>44244</c:v>
                </c:pt>
                <c:pt idx="1">
                  <c:v>310416</c:v>
                </c:pt>
                <c:pt idx="2">
                  <c:v>92490</c:v>
                </c:pt>
                <c:pt idx="3">
                  <c:v>921000</c:v>
                </c:pt>
              </c:numCache>
            </c:numRef>
          </c:val>
          <c:extLst>
            <c:ext xmlns:c16="http://schemas.microsoft.com/office/drawing/2014/chart" uri="{C3380CC4-5D6E-409C-BE32-E72D297353CC}">
              <c16:uniqueId val="{00000001-8EE3-49EE-84E8-11DCF2C700AB}"/>
            </c:ext>
          </c:extLst>
        </c:ser>
        <c:ser>
          <c:idx val="2"/>
          <c:order val="2"/>
          <c:tx>
            <c:strRef>
              <c:f>'Cleaned Data for Dashboard'!$A$4</c:f>
              <c:strCache>
                <c:ptCount val="1"/>
                <c:pt idx="0">
                  <c:v>AnTACids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Dashboard'!$B$4:$F$4</c15:sqref>
                  </c15:fullRef>
                </c:ext>
              </c:extLst>
              <c:f>('Cleaned Data for Dashboard'!$B$4:$C$4,'Cleaned Data for Dashboard'!$E$4:$F$4)</c:f>
              <c:numCache>
                <c:formatCode>"₹"\ #,##0.00</c:formatCode>
                <c:ptCount val="4"/>
                <c:pt idx="0">
                  <c:v>433796</c:v>
                </c:pt>
                <c:pt idx="1">
                  <c:v>191447</c:v>
                </c:pt>
                <c:pt idx="2">
                  <c:v>484888</c:v>
                </c:pt>
                <c:pt idx="3">
                  <c:v>484000</c:v>
                </c:pt>
              </c:numCache>
            </c:numRef>
          </c:val>
          <c:extLst>
            <c:ext xmlns:c16="http://schemas.microsoft.com/office/drawing/2014/chart" uri="{C3380CC4-5D6E-409C-BE32-E72D297353CC}">
              <c16:uniqueId val="{00000002-8EE3-49EE-84E8-11DCF2C700AB}"/>
            </c:ext>
          </c:extLst>
        </c:ser>
        <c:ser>
          <c:idx val="3"/>
          <c:order val="3"/>
          <c:tx>
            <c:strRef>
              <c:f>'Cleaned Data for Dashboard'!$A$5</c:f>
              <c:strCache>
                <c:ptCount val="1"/>
                <c:pt idx="0">
                  <c:v>Anti-pyretics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Dashboard'!$B$5:$F$5</c15:sqref>
                  </c15:fullRef>
                </c:ext>
              </c:extLst>
              <c:f>('Cleaned Data for Dashboard'!$B$5:$C$5,'Cleaned Data for Dashboard'!$E$5:$F$5)</c:f>
              <c:numCache>
                <c:formatCode>"₹"\ #,##0.00</c:formatCode>
                <c:ptCount val="4"/>
                <c:pt idx="0">
                  <c:v>50000</c:v>
                </c:pt>
                <c:pt idx="1">
                  <c:v>60000</c:v>
                </c:pt>
                <c:pt idx="2">
                  <c:v>0</c:v>
                </c:pt>
                <c:pt idx="3">
                  <c:v>87494</c:v>
                </c:pt>
              </c:numCache>
            </c:numRef>
          </c:val>
          <c:extLst>
            <c:ext xmlns:c16="http://schemas.microsoft.com/office/drawing/2014/chart" uri="{C3380CC4-5D6E-409C-BE32-E72D297353CC}">
              <c16:uniqueId val="{00000003-8EE3-49EE-84E8-11DCF2C700AB}"/>
            </c:ext>
          </c:extLst>
        </c:ser>
        <c:ser>
          <c:idx val="4"/>
          <c:order val="4"/>
          <c:tx>
            <c:strRef>
              <c:f>'Cleaned Data for Dashboard'!$A$6</c:f>
              <c:strCache>
                <c:ptCount val="1"/>
                <c:pt idx="0">
                  <c:v>Anti-hypertensives</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Dashboard'!$B$6:$F$6</c15:sqref>
                  </c15:fullRef>
                </c:ext>
              </c:extLst>
              <c:f>('Cleaned Data for Dashboard'!$B$6:$C$6,'Cleaned Data for Dashboard'!$E$6:$F$6)</c:f>
              <c:numCache>
                <c:formatCode>"₹"\ #,##0.00</c:formatCode>
                <c:ptCount val="4"/>
                <c:pt idx="0">
                  <c:v>539770</c:v>
                </c:pt>
                <c:pt idx="1">
                  <c:v>125314</c:v>
                </c:pt>
                <c:pt idx="2">
                  <c:v>419229</c:v>
                </c:pt>
                <c:pt idx="3">
                  <c:v>419000</c:v>
                </c:pt>
              </c:numCache>
            </c:numRef>
          </c:val>
          <c:extLst>
            <c:ext xmlns:c16="http://schemas.microsoft.com/office/drawing/2014/chart" uri="{C3380CC4-5D6E-409C-BE32-E72D297353CC}">
              <c16:uniqueId val="{00000004-8EE3-49EE-84E8-11DCF2C700AB}"/>
            </c:ext>
          </c:extLst>
        </c:ser>
        <c:ser>
          <c:idx val="5"/>
          <c:order val="5"/>
          <c:tx>
            <c:strRef>
              <c:f>'Cleaned Data for Dashboard'!$A$7</c:f>
              <c:strCache>
                <c:ptCount val="1"/>
                <c:pt idx="0">
                  <c:v>Analgesics</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Dashboard'!$B$7:$F$7</c15:sqref>
                  </c15:fullRef>
                </c:ext>
              </c:extLst>
              <c:f>('Cleaned Data for Dashboard'!$B$7:$C$7,'Cleaned Data for Dashboard'!$E$7:$F$7)</c:f>
              <c:numCache>
                <c:formatCode>"₹"\ #,##0.00</c:formatCode>
                <c:ptCount val="4"/>
                <c:pt idx="0">
                  <c:v>597406</c:v>
                </c:pt>
                <c:pt idx="1">
                  <c:v>144037</c:v>
                </c:pt>
                <c:pt idx="2">
                  <c:v>238034</c:v>
                </c:pt>
                <c:pt idx="3">
                  <c:v>238000</c:v>
                </c:pt>
              </c:numCache>
            </c:numRef>
          </c:val>
          <c:extLst>
            <c:ext xmlns:c16="http://schemas.microsoft.com/office/drawing/2014/chart" uri="{C3380CC4-5D6E-409C-BE32-E72D297353CC}">
              <c16:uniqueId val="{00000008-8EE3-49EE-84E8-11DCF2C700AB}"/>
            </c:ext>
          </c:extLst>
        </c:ser>
        <c:ser>
          <c:idx val="6"/>
          <c:order val="6"/>
          <c:tx>
            <c:strRef>
              <c:f>'Cleaned Data for Dashboard'!$A$8</c:f>
              <c:strCache>
                <c:ptCount val="1"/>
                <c:pt idx="0">
                  <c:v>Blood THINners</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Dashboard'!$B$8:$F$8</c15:sqref>
                  </c15:fullRef>
                </c:ext>
              </c:extLst>
              <c:f>('Cleaned Data for Dashboard'!$B$8:$C$8,'Cleaned Data for Dashboard'!$E$8:$F$8)</c:f>
              <c:numCache>
                <c:formatCode>"₹"\ #,##0.00</c:formatCode>
                <c:ptCount val="4"/>
                <c:pt idx="0">
                  <c:v>65000</c:v>
                </c:pt>
                <c:pt idx="1">
                  <c:v>0</c:v>
                </c:pt>
                <c:pt idx="2">
                  <c:v>40000</c:v>
                </c:pt>
                <c:pt idx="3">
                  <c:v>380000</c:v>
                </c:pt>
              </c:numCache>
            </c:numRef>
          </c:val>
          <c:extLst>
            <c:ext xmlns:c16="http://schemas.microsoft.com/office/drawing/2014/chart" uri="{C3380CC4-5D6E-409C-BE32-E72D297353CC}">
              <c16:uniqueId val="{00000009-8EE3-49EE-84E8-11DCF2C700AB}"/>
            </c:ext>
          </c:extLst>
        </c:ser>
        <c:ser>
          <c:idx val="7"/>
          <c:order val="7"/>
          <c:tx>
            <c:strRef>
              <c:f>'Cleaned Data for Dashboard'!$A$9</c:f>
              <c:strCache>
                <c:ptCount val="1"/>
                <c:pt idx="0">
                  <c:v>Statins</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cat>
            <c:strRef>
              <c:extLst>
                <c:ext xmlns:c15="http://schemas.microsoft.com/office/drawing/2012/chart" uri="{02D57815-91ED-43cb-92C2-25804820EDAC}">
                  <c15:fullRef>
                    <c15:sqref>'Cleaned Data for Dashboard'!$B$1:$F$1</c15:sqref>
                  </c15:fullRef>
                </c:ext>
              </c:extLst>
              <c:f>('Cleaned Data for Dashboard'!$B$1:$C$1,'Cleaned Data for Dashboard'!$E$1:$F$1)</c:f>
              <c:strCache>
                <c:ptCount val="4"/>
                <c:pt idx="0">
                  <c:v>2012</c:v>
                </c:pt>
                <c:pt idx="1">
                  <c:v>2013</c:v>
                </c:pt>
                <c:pt idx="2">
                  <c:v>2015</c:v>
                </c:pt>
                <c:pt idx="3">
                  <c:v>2016</c:v>
                </c:pt>
              </c:strCache>
            </c:strRef>
          </c:cat>
          <c:val>
            <c:numRef>
              <c:extLst>
                <c:ext xmlns:c15="http://schemas.microsoft.com/office/drawing/2012/chart" uri="{02D57815-91ED-43cb-92C2-25804820EDAC}">
                  <c15:fullRef>
                    <c15:sqref>'Cleaned Data for Dashboard'!$B$9:$F$9</c15:sqref>
                  </c15:fullRef>
                </c:ext>
              </c:extLst>
              <c:f>('Cleaned Data for Dashboard'!$B$9:$C$9,'Cleaned Data for Dashboard'!$E$9:$F$9)</c:f>
              <c:numCache>
                <c:formatCode>"₹"\ #,##0.00</c:formatCode>
                <c:ptCount val="4"/>
                <c:pt idx="0">
                  <c:v>65000</c:v>
                </c:pt>
                <c:pt idx="1">
                  <c:v>0</c:v>
                </c:pt>
                <c:pt idx="2">
                  <c:v>40000</c:v>
                </c:pt>
                <c:pt idx="3">
                  <c:v>380000</c:v>
                </c:pt>
              </c:numCache>
            </c:numRef>
          </c:val>
          <c:extLst>
            <c:ext xmlns:c16="http://schemas.microsoft.com/office/drawing/2014/chart" uri="{C3380CC4-5D6E-409C-BE32-E72D297353CC}">
              <c16:uniqueId val="{0000000A-8EE3-49EE-84E8-11DCF2C700AB}"/>
            </c:ext>
          </c:extLst>
        </c:ser>
        <c:dLbls>
          <c:showLegendKey val="0"/>
          <c:showVal val="0"/>
          <c:showCatName val="0"/>
          <c:showSerName val="0"/>
          <c:showPercent val="0"/>
          <c:showBubbleSize val="0"/>
        </c:dLbls>
        <c:gapWidth val="355"/>
        <c:overlap val="-70"/>
        <c:axId val="543241888"/>
        <c:axId val="548910416"/>
      </c:barChart>
      <c:catAx>
        <c:axId val="5432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10416"/>
        <c:crosses val="autoZero"/>
        <c:auto val="1"/>
        <c:lblAlgn val="ctr"/>
        <c:lblOffset val="100"/>
        <c:noMultiLvlLbl val="0"/>
      </c:catAx>
      <c:valAx>
        <c:axId val="5489104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41888"/>
        <c:crosses val="autoZero"/>
        <c:crossBetween val="between"/>
      </c:valAx>
      <c:spPr>
        <a:noFill/>
        <a:ln>
          <a:noFill/>
        </a:ln>
        <a:effectLst/>
      </c:spPr>
    </c:plotArea>
    <c:legend>
      <c:legendPos val="b"/>
      <c:layout>
        <c:manualLayout>
          <c:xMode val="edge"/>
          <c:yMode val="edge"/>
          <c:x val="0.16726430322970193"/>
          <c:y val="0.82678562238543707"/>
          <c:w val="0.64760000657194861"/>
          <c:h val="0.143717630216009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73104118212981384"/>
          <c:y val="3.6635386330133399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114180478821363E-2"/>
          <c:y val="0.26566760736766309"/>
          <c:w val="0.9598715890850722"/>
          <c:h val="0.63398921097252225"/>
        </c:manualLayout>
      </c:layout>
      <c:pie3DChart>
        <c:varyColors val="1"/>
        <c:ser>
          <c:idx val="0"/>
          <c:order val="0"/>
          <c:tx>
            <c:strRef>
              <c:f>'Cleaned Data for Dashboard'!$B$1</c:f>
              <c:strCache>
                <c:ptCount val="1"/>
                <c:pt idx="0">
                  <c:v>2012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F2F-404A-A41E-7AD41482A14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2F-404A-A41E-7AD41482A14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2F-404A-A41E-7AD41482A14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2F-404A-A41E-7AD41482A14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F2F-404A-A41E-7AD41482A14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F2F-404A-A41E-7AD41482A14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F2F-404A-A41E-7AD41482A14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F2F-404A-A41E-7AD41482A147}"/>
              </c:ext>
            </c:extLst>
          </c:dPt>
          <c:dLbls>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F2F-404A-A41E-7AD41482A147}"/>
                </c:ext>
              </c:extLst>
            </c:dLbl>
            <c:dLbl>
              <c:idx val="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F2F-404A-A41E-7AD41482A147}"/>
                </c:ext>
              </c:extLst>
            </c:dLbl>
            <c:dLbl>
              <c:idx val="2"/>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F2F-404A-A41E-7AD41482A147}"/>
                </c:ext>
              </c:extLst>
            </c:dLbl>
            <c:dLbl>
              <c:idx val="3"/>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0F2F-404A-A41E-7AD41482A147}"/>
                </c:ext>
              </c:extLst>
            </c:dLbl>
            <c:dLbl>
              <c:idx val="4"/>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0F2F-404A-A41E-7AD41482A147}"/>
                </c:ext>
              </c:extLst>
            </c:dLbl>
            <c:dLbl>
              <c:idx val="5"/>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0F2F-404A-A41E-7AD41482A147}"/>
                </c:ext>
              </c:extLst>
            </c:dLbl>
            <c:dLbl>
              <c:idx val="6"/>
              <c:layout>
                <c:manualLayout>
                  <c:x val="-7.6968620485494382E-2"/>
                  <c:y val="4.7892720306513302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0F2F-404A-A41E-7AD41482A147}"/>
                </c:ext>
              </c:extLst>
            </c:dLbl>
            <c:dLbl>
              <c:idx val="7"/>
              <c:layout>
                <c:manualLayout>
                  <c:x val="0.16280191885428175"/>
                  <c:y val="-7.7391242043020489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0F2F-404A-A41E-7AD41482A147}"/>
                </c:ext>
              </c:extLst>
            </c:dLbl>
            <c:spPr>
              <a:solidFill>
                <a:sysClr val="window" lastClr="FFFFFF"/>
              </a:solidFill>
              <a:ln>
                <a:solidFill>
                  <a:srgbClr val="4472C4"/>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'Cleaned Data for Dashboard'!$A$2:$A$9</c:f>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f>'Cleaned Data for Dashboard'!$B$2:$B$9</c:f>
              <c:numCache>
                <c:formatCode>"₹"\ #,##0.00</c:formatCode>
                <c:ptCount val="8"/>
                <c:pt idx="0">
                  <c:v>432521</c:v>
                </c:pt>
                <c:pt idx="1">
                  <c:v>44244</c:v>
                </c:pt>
                <c:pt idx="2">
                  <c:v>433796</c:v>
                </c:pt>
                <c:pt idx="3">
                  <c:v>50000</c:v>
                </c:pt>
                <c:pt idx="4">
                  <c:v>539770</c:v>
                </c:pt>
                <c:pt idx="5">
                  <c:v>597406</c:v>
                </c:pt>
                <c:pt idx="6">
                  <c:v>65000</c:v>
                </c:pt>
                <c:pt idx="7">
                  <c:v>65000</c:v>
                </c:pt>
              </c:numCache>
            </c:numRef>
          </c:val>
          <c:extLst>
            <c:ext xmlns:c16="http://schemas.microsoft.com/office/drawing/2014/chart" uri="{C3380CC4-5D6E-409C-BE32-E72D297353CC}">
              <c16:uniqueId val="{00000010-0F2F-404A-A41E-7AD41482A147}"/>
            </c:ext>
          </c:extLst>
        </c:ser>
        <c:ser>
          <c:idx val="2"/>
          <c:order val="2"/>
          <c:tx>
            <c:strRef>
              <c:f>'Cleaned Data for Dashboard'!$D$1</c:f>
              <c:strCache>
                <c:ptCount val="1"/>
                <c:pt idx="0">
                  <c:v>2014</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0F2F-404A-A41E-7AD41482A14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0F2F-404A-A41E-7AD41482A14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0F2F-404A-A41E-7AD41482A14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0F2F-404A-A41E-7AD41482A14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0F2F-404A-A41E-7AD41482A14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0F2F-404A-A41E-7AD41482A14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0F2F-404A-A41E-7AD41482A14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0F2F-404A-A41E-7AD41482A147}"/>
              </c:ext>
            </c:extLst>
          </c:dPt>
          <c:dLbls>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3-0F2F-404A-A41E-7AD41482A147}"/>
                </c:ext>
              </c:extLst>
            </c:dLbl>
            <c:dLbl>
              <c:idx val="1"/>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5-0F2F-404A-A41E-7AD41482A147}"/>
                </c:ext>
              </c:extLst>
            </c:dLbl>
            <c:dLbl>
              <c:idx val="2"/>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7-0F2F-404A-A41E-7AD41482A147}"/>
                </c:ext>
              </c:extLst>
            </c:dLbl>
            <c:dLbl>
              <c:idx val="3"/>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9-0F2F-404A-A41E-7AD41482A147}"/>
                </c:ext>
              </c:extLst>
            </c:dLbl>
            <c:dLbl>
              <c:idx val="4"/>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B-0F2F-404A-A41E-7AD41482A147}"/>
                </c:ext>
              </c:extLst>
            </c:dLbl>
            <c:dLbl>
              <c:idx val="5"/>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D-0F2F-404A-A41E-7AD41482A147}"/>
                </c:ext>
              </c:extLst>
            </c:dLbl>
            <c:dLbl>
              <c:idx val="6"/>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F-0F2F-404A-A41E-7AD41482A147}"/>
                </c:ext>
              </c:extLst>
            </c:dLbl>
            <c:dLbl>
              <c:idx val="7"/>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1-0F2F-404A-A41E-7AD41482A147}"/>
                </c:ext>
              </c:extLst>
            </c:dLbl>
            <c:spPr>
              <a:solidFill>
                <a:sysClr val="window" lastClr="FFFFFF"/>
              </a:solidFill>
              <a:ln>
                <a:solidFill>
                  <a:srgbClr val="A5A5A5"/>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'Cleaned Data for Dashboard'!$A$2:$A$9</c:f>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f>'Cleaned Data for Dashboard'!$D$2:$D$9</c:f>
              <c:numCache>
                <c:formatCode>"₹"\ #,##0.00</c:formatCode>
                <c:ptCount val="8"/>
                <c:pt idx="0">
                  <c:v>530619</c:v>
                </c:pt>
                <c:pt idx="1">
                  <c:v>0</c:v>
                </c:pt>
                <c:pt idx="2">
                  <c:v>18073</c:v>
                </c:pt>
                <c:pt idx="3">
                  <c:v>30000</c:v>
                </c:pt>
                <c:pt idx="4">
                  <c:v>38178</c:v>
                </c:pt>
                <c:pt idx="5">
                  <c:v>362484</c:v>
                </c:pt>
                <c:pt idx="6">
                  <c:v>70000</c:v>
                </c:pt>
                <c:pt idx="7">
                  <c:v>70000</c:v>
                </c:pt>
              </c:numCache>
            </c:numRef>
          </c:val>
          <c:extLst>
            <c:ext xmlns:c16="http://schemas.microsoft.com/office/drawing/2014/chart" uri="{C3380CC4-5D6E-409C-BE32-E72D297353CC}">
              <c16:uniqueId val="{00000032-0F2F-404A-A41E-7AD41482A147}"/>
            </c:ext>
          </c:extLst>
        </c:ser>
        <c:dLbls>
          <c:showLegendKey val="0"/>
          <c:showVal val="0"/>
          <c:showCatName val="0"/>
          <c:showSerName val="0"/>
          <c:showPercent val="0"/>
          <c:showBubbleSize val="0"/>
          <c:showLeaderLines val="0"/>
        </c:dLbls>
        <c:extLst>
          <c:ext xmlns:c15="http://schemas.microsoft.com/office/drawing/2012/chart" uri="{02D57815-91ED-43cb-92C2-25804820EDAC}">
            <c15:filteredPieSeries>
              <c15:ser>
                <c:idx val="1"/>
                <c:order val="1"/>
                <c:tx>
                  <c:strRef>
                    <c:extLst>
                      <c:ext uri="{02D57815-91ED-43cb-92C2-25804820EDAC}">
                        <c15:formulaRef>
                          <c15:sqref>'Cleaned Data for Dashboard'!$C$1</c15:sqref>
                        </c15:formulaRef>
                      </c:ext>
                    </c:extLst>
                    <c:strCache>
                      <c:ptCount val="1"/>
                      <c:pt idx="0">
                        <c:v>2013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F2F-404A-A41E-7AD41482A14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F2F-404A-A41E-7AD41482A14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F2F-404A-A41E-7AD41482A14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F2F-404A-A41E-7AD41482A14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F2F-404A-A41E-7AD41482A14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0F2F-404A-A41E-7AD41482A14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0F2F-404A-A41E-7AD41482A14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0F2F-404A-A41E-7AD41482A147}"/>
                    </c:ext>
                  </c:extLst>
                </c:dPt>
                <c:dLbls>
                  <c:dLbl>
                    <c:idx val="0"/>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2-0F2F-404A-A41E-7AD41482A147}"/>
                      </c:ext>
                    </c:extLst>
                  </c:dLbl>
                  <c:dLbl>
                    <c:idx val="1"/>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4-0F2F-404A-A41E-7AD41482A147}"/>
                      </c:ext>
                    </c:extLst>
                  </c:dLbl>
                  <c:dLbl>
                    <c:idx val="2"/>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6-0F2F-404A-A41E-7AD41482A147}"/>
                      </c:ext>
                    </c:extLst>
                  </c:dLbl>
                  <c:dLbl>
                    <c:idx val="3"/>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8-0F2F-404A-A41E-7AD41482A147}"/>
                      </c:ext>
                    </c:extLst>
                  </c:dLbl>
                  <c:dLbl>
                    <c:idx val="4"/>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A-0F2F-404A-A41E-7AD41482A147}"/>
                      </c:ext>
                    </c:extLst>
                  </c:dLbl>
                  <c:dLbl>
                    <c:idx val="5"/>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C-0F2F-404A-A41E-7AD41482A147}"/>
                      </c:ext>
                    </c:extLst>
                  </c:dLbl>
                  <c:dLbl>
                    <c:idx val="6"/>
                    <c:layout>
                      <c:manualLayout>
                        <c:x val="-8.9779005524861885E-2"/>
                        <c:y val="-0.12905604719764011"/>
                      </c:manualLayout>
                    </c:layout>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E-0F2F-404A-A41E-7AD41482A147}"/>
                      </c:ext>
                    </c:extLst>
                  </c:dLbl>
                  <c:dLbl>
                    <c:idx val="7"/>
                    <c:layout>
                      <c:manualLayout>
                        <c:x val="0.11279926335174954"/>
                        <c:y val="-7.0058997050147495E-2"/>
                      </c:manualLayout>
                    </c:layout>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0-0F2F-404A-A41E-7AD41482A147}"/>
                      </c:ext>
                    </c:extLst>
                  </c:dLbl>
                  <c:spPr>
                    <a:solidFill>
                      <a:sysClr val="window" lastClr="FFFFFF"/>
                    </a:solidFill>
                    <a:ln>
                      <a:solidFill>
                        <a:srgbClr val="ED7D31"/>
                      </a:solidFill>
                    </a:ln>
                    <a:effectLst/>
                  </c:spPr>
                  <c:dLblPos val="outEnd"/>
                  <c:showLegendKey val="0"/>
                  <c:showVal val="0"/>
                  <c:showCatName val="1"/>
                  <c:showSerName val="0"/>
                  <c:showPercent val="1"/>
                  <c:showBubbleSize val="0"/>
                  <c:showLeaderLines val="0"/>
                  <c:extLst>
                    <c:ext uri="{CE6537A1-D6FC-4f65-9D91-7224C49458BB}">
                      <c15:spPr xmlns:c15="http://schemas.microsoft.com/office/drawing/2012/chart">
                        <a:prstGeom prst="wedgeRectCallout">
                          <a:avLst/>
                        </a:prstGeom>
                        <a:noFill/>
                        <a:ln>
                          <a:noFill/>
                        </a:ln>
                      </c15:spPr>
                    </c:ext>
                  </c:extLst>
                </c:dLbls>
                <c:cat>
                  <c:strRef>
                    <c:extLst>
                      <c:ex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uri="{02D57815-91ED-43cb-92C2-25804820EDAC}">
                        <c15:formulaRef>
                          <c15:sqref>'Cleaned Data for Dashboard'!$C$2:$C$9</c15:sqref>
                        </c15:formulaRef>
                      </c:ext>
                    </c:extLst>
                    <c:numCache>
                      <c:formatCode>"₹"\ #,##0.00</c:formatCode>
                      <c:ptCount val="8"/>
                      <c:pt idx="0">
                        <c:v>227724</c:v>
                      </c:pt>
                      <c:pt idx="1">
                        <c:v>310416</c:v>
                      </c:pt>
                      <c:pt idx="2">
                        <c:v>191447</c:v>
                      </c:pt>
                      <c:pt idx="3">
                        <c:v>60000</c:v>
                      </c:pt>
                      <c:pt idx="4">
                        <c:v>125314</c:v>
                      </c:pt>
                      <c:pt idx="5">
                        <c:v>144037</c:v>
                      </c:pt>
                      <c:pt idx="6">
                        <c:v>0</c:v>
                      </c:pt>
                      <c:pt idx="7">
                        <c:v>0</c:v>
                      </c:pt>
                    </c:numCache>
                  </c:numRef>
                </c:val>
                <c:extLst>
                  <c:ext xmlns:c16="http://schemas.microsoft.com/office/drawing/2014/chart" uri="{C3380CC4-5D6E-409C-BE32-E72D297353CC}">
                    <c16:uniqueId val="{00000021-0F2F-404A-A41E-7AD41482A147}"/>
                  </c:ext>
                </c:extLst>
              </c15:ser>
            </c15:filteredPieSeries>
            <c15:filteredPieSeries>
              <c15:ser>
                <c:idx val="3"/>
                <c:order val="3"/>
                <c:tx>
                  <c:strRef>
                    <c:extLst>
                      <c:ext xmlns:c15="http://schemas.microsoft.com/office/drawing/2012/chart" uri="{02D57815-91ED-43cb-92C2-25804820EDAC}">
                        <c15:formulaRef>
                          <c15:sqref>'Cleaned Data for Dashboard'!$E$1</c15:sqref>
                        </c15:formulaRef>
                      </c:ext>
                    </c:extLst>
                    <c:strCache>
                      <c:ptCount val="1"/>
                      <c:pt idx="0">
                        <c:v>2015</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4-0F2F-404A-A41E-7AD41482A14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6-0F2F-404A-A41E-7AD41482A14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8-0F2F-404A-A41E-7AD41482A14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A-0F2F-404A-A41E-7AD41482A14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C-0F2F-404A-A41E-7AD41482A14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E-0F2F-404A-A41E-7AD41482A14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0-0F2F-404A-A41E-7AD41482A14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2-0F2F-404A-A41E-7AD41482A147}"/>
                    </c:ext>
                  </c:extLst>
                </c:dPt>
                <c:dLbls>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4-0F2F-404A-A41E-7AD41482A147}"/>
                      </c:ext>
                    </c:extLst>
                  </c:dLbl>
                  <c:dLbl>
                    <c:idx val="1"/>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6-0F2F-404A-A41E-7AD41482A147}"/>
                      </c:ext>
                    </c:extLst>
                  </c:dLbl>
                  <c:dLbl>
                    <c:idx val="2"/>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8-0F2F-404A-A41E-7AD41482A147}"/>
                      </c:ext>
                    </c:extLst>
                  </c:dLbl>
                  <c:dLbl>
                    <c:idx val="3"/>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A-0F2F-404A-A41E-7AD41482A147}"/>
                      </c:ext>
                    </c:extLst>
                  </c:dLbl>
                  <c:dLbl>
                    <c:idx val="4"/>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C-0F2F-404A-A41E-7AD41482A147}"/>
                      </c:ext>
                    </c:extLst>
                  </c:dLbl>
                  <c:dLbl>
                    <c:idx val="5"/>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E-0F2F-404A-A41E-7AD41482A147}"/>
                      </c:ext>
                    </c:extLst>
                  </c:dLbl>
                  <c:dLbl>
                    <c:idx val="6"/>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0-0F2F-404A-A41E-7AD41482A147}"/>
                      </c:ext>
                    </c:extLst>
                  </c:dLbl>
                  <c:dLbl>
                    <c:idx val="7"/>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2-0F2F-404A-A41E-7AD41482A147}"/>
                      </c:ext>
                    </c:extLst>
                  </c:dLbl>
                  <c:spPr>
                    <a:solidFill>
                      <a:sysClr val="window" lastClr="FFFFFF"/>
                    </a:solidFill>
                    <a:ln>
                      <a:solidFill>
                        <a:srgbClr val="FFC000"/>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xmlns:c15="http://schemas.microsoft.com/office/drawing/2012/chart" uri="{02D57815-91ED-43cb-92C2-25804820EDAC}">
                        <c15:formulaRef>
                          <c15:sqref>'Cleaned Data for Dashboard'!$E$2:$E$9</c15:sqref>
                        </c15:formulaRef>
                      </c:ext>
                    </c:extLst>
                    <c:numCache>
                      <c:formatCode>"₹"\ #,##0.00</c:formatCode>
                      <c:ptCount val="8"/>
                      <c:pt idx="0">
                        <c:v>182911</c:v>
                      </c:pt>
                      <c:pt idx="1">
                        <c:v>92490</c:v>
                      </c:pt>
                      <c:pt idx="2">
                        <c:v>484888</c:v>
                      </c:pt>
                      <c:pt idx="3">
                        <c:v>0</c:v>
                      </c:pt>
                      <c:pt idx="4">
                        <c:v>419229</c:v>
                      </c:pt>
                      <c:pt idx="5">
                        <c:v>238034</c:v>
                      </c:pt>
                      <c:pt idx="6">
                        <c:v>40000</c:v>
                      </c:pt>
                      <c:pt idx="7">
                        <c:v>40000</c:v>
                      </c:pt>
                    </c:numCache>
                  </c:numRef>
                </c:val>
                <c:extLst>
                  <c:ext xmlns:c16="http://schemas.microsoft.com/office/drawing/2014/chart" uri="{C3380CC4-5D6E-409C-BE32-E72D297353CC}">
                    <c16:uniqueId val="{00000043-0F2F-404A-A41E-7AD41482A147}"/>
                  </c:ext>
                </c:extLst>
              </c15:ser>
            </c15:filteredPieSeries>
            <c15:filteredPieSeries>
              <c15:ser>
                <c:idx val="4"/>
                <c:order val="4"/>
                <c:tx>
                  <c:strRef>
                    <c:extLst>
                      <c:ext xmlns:c15="http://schemas.microsoft.com/office/drawing/2012/chart" uri="{02D57815-91ED-43cb-92C2-25804820EDAC}">
                        <c15:formulaRef>
                          <c15:sqref>'Cleaned Data for Dashboard'!$F$1</c15:sqref>
                        </c15:formulaRef>
                      </c:ext>
                    </c:extLst>
                    <c:strCache>
                      <c:ptCount val="1"/>
                      <c:pt idx="0">
                        <c:v>2016</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5-0F2F-404A-A41E-7AD41482A14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7-0F2F-404A-A41E-7AD41482A14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9-0F2F-404A-A41E-7AD41482A14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B-0F2F-404A-A41E-7AD41482A14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D-0F2F-404A-A41E-7AD41482A14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F-0F2F-404A-A41E-7AD41482A14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1-0F2F-404A-A41E-7AD41482A14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3-0F2F-404A-A41E-7AD41482A147}"/>
                    </c:ext>
                  </c:extLst>
                </c:dPt>
                <c:dLbls>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5-0F2F-404A-A41E-7AD41482A147}"/>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7-0F2F-404A-A41E-7AD41482A147}"/>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9-0F2F-404A-A41E-7AD41482A147}"/>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B-0F2F-404A-A41E-7AD41482A147}"/>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D-0F2F-404A-A41E-7AD41482A147}"/>
                      </c:ext>
                    </c:extLst>
                  </c:dLbl>
                  <c:dLbl>
                    <c:idx val="5"/>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F-0F2F-404A-A41E-7AD41482A147}"/>
                      </c:ext>
                    </c:extLst>
                  </c:dLbl>
                  <c:dLbl>
                    <c:idx val="6"/>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51-0F2F-404A-A41E-7AD41482A147}"/>
                      </c:ext>
                    </c:extLst>
                  </c:dLbl>
                  <c:dLbl>
                    <c:idx val="7"/>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53-0F2F-404A-A41E-7AD41482A147}"/>
                      </c:ext>
                    </c:extLst>
                  </c:dLbl>
                  <c:spPr>
                    <a:solidFill>
                      <a:sysClr val="window" lastClr="FFFFFF"/>
                    </a:solidFill>
                    <a:ln>
                      <a:solidFill>
                        <a:srgbClr val="5B9BD5"/>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xmlns:c15="http://schemas.microsoft.com/office/drawing/2012/chart" uri="{02D57815-91ED-43cb-92C2-25804820EDAC}">
                        <c15:formulaRef>
                          <c15:sqref>'Cleaned Data for Dashboard'!$F$2:$F$9</c15:sqref>
                        </c15:formulaRef>
                      </c:ext>
                    </c:extLst>
                    <c:numCache>
                      <c:formatCode>"₹"\ #,##0.00</c:formatCode>
                      <c:ptCount val="8"/>
                      <c:pt idx="0">
                        <c:v>182000</c:v>
                      </c:pt>
                      <c:pt idx="1">
                        <c:v>921000</c:v>
                      </c:pt>
                      <c:pt idx="2">
                        <c:v>484000</c:v>
                      </c:pt>
                      <c:pt idx="3">
                        <c:v>87494</c:v>
                      </c:pt>
                      <c:pt idx="4">
                        <c:v>419000</c:v>
                      </c:pt>
                      <c:pt idx="5">
                        <c:v>238000</c:v>
                      </c:pt>
                      <c:pt idx="6">
                        <c:v>380000</c:v>
                      </c:pt>
                      <c:pt idx="7">
                        <c:v>380000</c:v>
                      </c:pt>
                    </c:numCache>
                  </c:numRef>
                </c:val>
                <c:extLst>
                  <c:ext xmlns:c16="http://schemas.microsoft.com/office/drawing/2014/chart" uri="{C3380CC4-5D6E-409C-BE32-E72D297353CC}">
                    <c16:uniqueId val="{00000054-0F2F-404A-A41E-7AD41482A147}"/>
                  </c:ext>
                </c:extLst>
              </c15:ser>
            </c15:filteredPieSeries>
          </c:ext>
        </c:extLst>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2015</a:t>
            </a:r>
          </a:p>
        </c:rich>
      </c:tx>
      <c:layout>
        <c:manualLayout>
          <c:xMode val="edge"/>
          <c:yMode val="edge"/>
          <c:x val="0.77810725786936197"/>
          <c:y val="2.219313866420648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069358351482657E-2"/>
          <c:y val="0.2293369663941871"/>
          <c:w val="0.9598715890850722"/>
          <c:h val="0.63398921097252225"/>
        </c:manualLayout>
      </c:layout>
      <c:pie3DChart>
        <c:varyColors val="1"/>
        <c:ser>
          <c:idx val="0"/>
          <c:order val="0"/>
          <c:tx>
            <c:strRef>
              <c:f>'Cleaned Data for Dashboard'!$B$1</c:f>
              <c:strCache>
                <c:ptCount val="1"/>
                <c:pt idx="0">
                  <c:v>2012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AD0-4302-A479-BDFD693417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AD0-4302-A479-BDFD693417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AD0-4302-A479-BDFD693417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AD0-4302-A479-BDFD693417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AD0-4302-A479-BDFD6934176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AD0-4302-A479-BDFD6934176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AD0-4302-A479-BDFD6934176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AD0-4302-A479-BDFD69341769}"/>
              </c:ext>
            </c:extLst>
          </c:dPt>
          <c:dLbls>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AD0-4302-A479-BDFD69341769}"/>
                </c:ext>
              </c:extLst>
            </c:dLbl>
            <c:dLbl>
              <c:idx val="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AD0-4302-A479-BDFD69341769}"/>
                </c:ext>
              </c:extLst>
            </c:dLbl>
            <c:dLbl>
              <c:idx val="2"/>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AD0-4302-A479-BDFD69341769}"/>
                </c:ext>
              </c:extLst>
            </c:dLbl>
            <c:dLbl>
              <c:idx val="3"/>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4AD0-4302-A479-BDFD69341769}"/>
                </c:ext>
              </c:extLst>
            </c:dLbl>
            <c:dLbl>
              <c:idx val="4"/>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4AD0-4302-A479-BDFD69341769}"/>
                </c:ext>
              </c:extLst>
            </c:dLbl>
            <c:dLbl>
              <c:idx val="5"/>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4AD0-4302-A479-BDFD69341769}"/>
                </c:ext>
              </c:extLst>
            </c:dLbl>
            <c:dLbl>
              <c:idx val="6"/>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4AD0-4302-A479-BDFD69341769}"/>
                </c:ext>
              </c:extLst>
            </c:dLbl>
            <c:dLbl>
              <c:idx val="7"/>
              <c:layout>
                <c:manualLayout>
                  <c:x val="8.2872928176795493E-2"/>
                  <c:y val="-2.9498525073746312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4AD0-4302-A479-BDFD69341769}"/>
                </c:ext>
              </c:extLst>
            </c:dLbl>
            <c:spPr>
              <a:solidFill>
                <a:sysClr val="window" lastClr="FFFFFF"/>
              </a:solidFill>
              <a:ln>
                <a:solidFill>
                  <a:srgbClr val="4472C4"/>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'Cleaned Data for Dashboard'!$A$2:$A$9</c:f>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f>'Cleaned Data for Dashboard'!$B$2:$B$9</c:f>
              <c:numCache>
                <c:formatCode>"₹"\ #,##0.00</c:formatCode>
                <c:ptCount val="8"/>
                <c:pt idx="0">
                  <c:v>432521</c:v>
                </c:pt>
                <c:pt idx="1">
                  <c:v>44244</c:v>
                </c:pt>
                <c:pt idx="2">
                  <c:v>433796</c:v>
                </c:pt>
                <c:pt idx="3">
                  <c:v>50000</c:v>
                </c:pt>
                <c:pt idx="4">
                  <c:v>539770</c:v>
                </c:pt>
                <c:pt idx="5">
                  <c:v>597406</c:v>
                </c:pt>
                <c:pt idx="6">
                  <c:v>65000</c:v>
                </c:pt>
                <c:pt idx="7">
                  <c:v>65000</c:v>
                </c:pt>
              </c:numCache>
            </c:numRef>
          </c:val>
          <c:extLst>
            <c:ext xmlns:c16="http://schemas.microsoft.com/office/drawing/2014/chart" uri="{C3380CC4-5D6E-409C-BE32-E72D297353CC}">
              <c16:uniqueId val="{00000010-4AD0-4302-A479-BDFD69341769}"/>
            </c:ext>
          </c:extLst>
        </c:ser>
        <c:ser>
          <c:idx val="3"/>
          <c:order val="3"/>
          <c:tx>
            <c:strRef>
              <c:f>'Cleaned Data for Dashboard'!$E$1</c:f>
              <c:strCache>
                <c:ptCount val="1"/>
                <c:pt idx="0">
                  <c:v>2015</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4-4AD0-4302-A479-BDFD693417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6-4AD0-4302-A479-BDFD693417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8-4AD0-4302-A479-BDFD693417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A-4AD0-4302-A479-BDFD693417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C-4AD0-4302-A479-BDFD6934176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E-4AD0-4302-A479-BDFD6934176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0-4AD0-4302-A479-BDFD6934176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2-4AD0-4302-A479-BDFD69341769}"/>
              </c:ext>
            </c:extLst>
          </c:dPt>
          <c:dLbls>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4-4AD0-4302-A479-BDFD69341769}"/>
                </c:ext>
              </c:extLst>
            </c:dLbl>
            <c:dLbl>
              <c:idx val="1"/>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6-4AD0-4302-A479-BDFD69341769}"/>
                </c:ext>
              </c:extLst>
            </c:dLbl>
            <c:dLbl>
              <c:idx val="2"/>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8-4AD0-4302-A479-BDFD69341769}"/>
                </c:ext>
              </c:extLst>
            </c:dLbl>
            <c:dLbl>
              <c:idx val="3"/>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A-4AD0-4302-A479-BDFD69341769}"/>
                </c:ext>
              </c:extLst>
            </c:dLbl>
            <c:dLbl>
              <c:idx val="4"/>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C-4AD0-4302-A479-BDFD69341769}"/>
                </c:ext>
              </c:extLst>
            </c:dLbl>
            <c:dLbl>
              <c:idx val="5"/>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E-4AD0-4302-A479-BDFD69341769}"/>
                </c:ext>
              </c:extLst>
            </c:dLbl>
            <c:dLbl>
              <c:idx val="6"/>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0-4AD0-4302-A479-BDFD69341769}"/>
                </c:ext>
              </c:extLst>
            </c:dLbl>
            <c:dLbl>
              <c:idx val="7"/>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2-4AD0-4302-A479-BDFD69341769}"/>
                </c:ext>
              </c:extLst>
            </c:dLbl>
            <c:spPr>
              <a:solidFill>
                <a:sysClr val="window" lastClr="FFFFFF"/>
              </a:solidFill>
              <a:ln>
                <a:solidFill>
                  <a:srgbClr val="FFC000"/>
                </a:solidFill>
              </a:ln>
              <a:effectLst/>
            </c:spPr>
            <c:dLblPos val="outEnd"/>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Lst>
          </c:dLbls>
          <c:cat>
            <c:strRef>
              <c:f>'Cleaned Data for Dashboard'!$A$2:$A$9</c:f>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f>'Cleaned Data for Dashboard'!$E$2:$E$9</c:f>
              <c:numCache>
                <c:formatCode>"₹"\ #,##0.00</c:formatCode>
                <c:ptCount val="8"/>
                <c:pt idx="0">
                  <c:v>182911</c:v>
                </c:pt>
                <c:pt idx="1">
                  <c:v>92490</c:v>
                </c:pt>
                <c:pt idx="2">
                  <c:v>484888</c:v>
                </c:pt>
                <c:pt idx="3">
                  <c:v>0</c:v>
                </c:pt>
                <c:pt idx="4">
                  <c:v>419229</c:v>
                </c:pt>
                <c:pt idx="5">
                  <c:v>238034</c:v>
                </c:pt>
                <c:pt idx="6">
                  <c:v>40000</c:v>
                </c:pt>
                <c:pt idx="7">
                  <c:v>40000</c:v>
                </c:pt>
              </c:numCache>
            </c:numRef>
          </c:val>
          <c:extLst>
            <c:ext xmlns:c16="http://schemas.microsoft.com/office/drawing/2014/chart" uri="{C3380CC4-5D6E-409C-BE32-E72D297353CC}">
              <c16:uniqueId val="{00000043-4AD0-4302-A479-BDFD69341769}"/>
            </c:ext>
          </c:extLst>
        </c:ser>
        <c:dLbls>
          <c:showLegendKey val="0"/>
          <c:showVal val="0"/>
          <c:showCatName val="0"/>
          <c:showSerName val="0"/>
          <c:showPercent val="0"/>
          <c:showBubbleSize val="0"/>
          <c:showLeaderLines val="0"/>
        </c:dLbls>
        <c:extLst>
          <c:ext xmlns:c15="http://schemas.microsoft.com/office/drawing/2012/chart" uri="{02D57815-91ED-43cb-92C2-25804820EDAC}">
            <c15:filteredPieSeries>
              <c15:ser>
                <c:idx val="1"/>
                <c:order val="1"/>
                <c:tx>
                  <c:strRef>
                    <c:extLst>
                      <c:ext uri="{02D57815-91ED-43cb-92C2-25804820EDAC}">
                        <c15:formulaRef>
                          <c15:sqref>'Cleaned Data for Dashboard'!$C$1</c15:sqref>
                        </c15:formulaRef>
                      </c:ext>
                    </c:extLst>
                    <c:strCache>
                      <c:ptCount val="1"/>
                      <c:pt idx="0">
                        <c:v>2013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4AD0-4302-A479-BDFD693417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4AD0-4302-A479-BDFD693417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4AD0-4302-A479-BDFD693417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4AD0-4302-A479-BDFD693417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4AD0-4302-A479-BDFD6934176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4AD0-4302-A479-BDFD6934176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4AD0-4302-A479-BDFD6934176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4AD0-4302-A479-BDFD69341769}"/>
                    </c:ext>
                  </c:extLst>
                </c:dPt>
                <c:dLbls>
                  <c:dLbl>
                    <c:idx val="0"/>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3-4AD0-4302-A479-BDFD69341769}"/>
                      </c:ext>
                    </c:extLst>
                  </c:dLbl>
                  <c:dLbl>
                    <c:idx val="1"/>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5-4AD0-4302-A479-BDFD69341769}"/>
                      </c:ext>
                    </c:extLst>
                  </c:dLbl>
                  <c:dLbl>
                    <c:idx val="2"/>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7-4AD0-4302-A479-BDFD69341769}"/>
                      </c:ext>
                    </c:extLst>
                  </c:dLbl>
                  <c:dLbl>
                    <c:idx val="3"/>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9-4AD0-4302-A479-BDFD69341769}"/>
                      </c:ext>
                    </c:extLst>
                  </c:dLbl>
                  <c:dLbl>
                    <c:idx val="4"/>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B-4AD0-4302-A479-BDFD69341769}"/>
                      </c:ext>
                    </c:extLst>
                  </c:dLbl>
                  <c:dLbl>
                    <c:idx val="5"/>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D-4AD0-4302-A479-BDFD69341769}"/>
                      </c:ext>
                    </c:extLst>
                  </c:dLbl>
                  <c:dLbl>
                    <c:idx val="6"/>
                    <c:layout>
                      <c:manualLayout>
                        <c:x val="-8.9779005524861885E-2"/>
                        <c:y val="-0.12905604719764011"/>
                      </c:manualLayout>
                    </c:layout>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F-4AD0-4302-A479-BDFD69341769}"/>
                      </c:ext>
                    </c:extLst>
                  </c:dLbl>
                  <c:dLbl>
                    <c:idx val="7"/>
                    <c:layout>
                      <c:manualLayout>
                        <c:x val="0.11279926335174954"/>
                        <c:y val="-7.0058997050147495E-2"/>
                      </c:manualLayout>
                    </c:layout>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31-4AD0-4302-A479-BDFD69341769}"/>
                      </c:ext>
                    </c:extLst>
                  </c:dLbl>
                  <c:spPr>
                    <a:solidFill>
                      <a:sysClr val="window" lastClr="FFFFFF"/>
                    </a:solidFill>
                    <a:ln>
                      <a:solidFill>
                        <a:srgbClr val="ED7D31"/>
                      </a:solidFill>
                    </a:ln>
                    <a:effectLst/>
                  </c:spPr>
                  <c:dLblPos val="outEnd"/>
                  <c:showLegendKey val="0"/>
                  <c:showVal val="0"/>
                  <c:showCatName val="1"/>
                  <c:showSerName val="0"/>
                  <c:showPercent val="1"/>
                  <c:showBubbleSize val="0"/>
                  <c:showLeaderLines val="0"/>
                  <c:extLst>
                    <c:ext uri="{CE6537A1-D6FC-4f65-9D91-7224C49458BB}">
                      <c15:spPr xmlns:c15="http://schemas.microsoft.com/office/drawing/2012/chart">
                        <a:prstGeom prst="wedgeRectCallout">
                          <a:avLst/>
                        </a:prstGeom>
                        <a:noFill/>
                        <a:ln>
                          <a:noFill/>
                        </a:ln>
                      </c15:spPr>
                    </c:ext>
                  </c:extLst>
                </c:dLbls>
                <c:cat>
                  <c:strRef>
                    <c:extLst>
                      <c:ex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uri="{02D57815-91ED-43cb-92C2-25804820EDAC}">
                        <c15:formulaRef>
                          <c15:sqref>'Cleaned Data for Dashboard'!$C$2:$C$9</c15:sqref>
                        </c15:formulaRef>
                      </c:ext>
                    </c:extLst>
                    <c:numCache>
                      <c:formatCode>"₹"\ #,##0.00</c:formatCode>
                      <c:ptCount val="8"/>
                      <c:pt idx="0">
                        <c:v>227724</c:v>
                      </c:pt>
                      <c:pt idx="1">
                        <c:v>310416</c:v>
                      </c:pt>
                      <c:pt idx="2">
                        <c:v>191447</c:v>
                      </c:pt>
                      <c:pt idx="3">
                        <c:v>60000</c:v>
                      </c:pt>
                      <c:pt idx="4">
                        <c:v>125314</c:v>
                      </c:pt>
                      <c:pt idx="5">
                        <c:v>144037</c:v>
                      </c:pt>
                      <c:pt idx="6">
                        <c:v>0</c:v>
                      </c:pt>
                      <c:pt idx="7">
                        <c:v>0</c:v>
                      </c:pt>
                    </c:numCache>
                  </c:numRef>
                </c:val>
                <c:extLst>
                  <c:ext xmlns:c16="http://schemas.microsoft.com/office/drawing/2014/chart" uri="{C3380CC4-5D6E-409C-BE32-E72D297353CC}">
                    <c16:uniqueId val="{00000032-4AD0-4302-A479-BDFD69341769}"/>
                  </c:ext>
                </c:extLst>
              </c15:ser>
            </c15:filteredPieSeries>
            <c15:filteredPieSeries>
              <c15:ser>
                <c:idx val="2"/>
                <c:order val="2"/>
                <c:tx>
                  <c:strRef>
                    <c:extLst>
                      <c:ext xmlns:c15="http://schemas.microsoft.com/office/drawing/2012/chart" uri="{02D57815-91ED-43cb-92C2-25804820EDAC}">
                        <c15:formulaRef>
                          <c15:sqref>'Cleaned Data for Dashboard'!$D$1</c15:sqref>
                        </c15:formulaRef>
                      </c:ext>
                    </c:extLst>
                    <c:strCache>
                      <c:ptCount val="1"/>
                      <c:pt idx="0">
                        <c:v>2014</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4AD0-4302-A479-BDFD693417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4AD0-4302-A479-BDFD693417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4AD0-4302-A479-BDFD693417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4AD0-4302-A479-BDFD693417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4AD0-4302-A479-BDFD6934176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4AD0-4302-A479-BDFD6934176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4AD0-4302-A479-BDFD6934176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4AD0-4302-A479-BDFD69341769}"/>
                    </c:ext>
                  </c:extLst>
                </c:dPt>
                <c:dLbls>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2-4AD0-4302-A479-BDFD69341769}"/>
                      </c:ext>
                    </c:extLst>
                  </c:dLbl>
                  <c:dLbl>
                    <c:idx val="1"/>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4-4AD0-4302-A479-BDFD69341769}"/>
                      </c:ext>
                    </c:extLst>
                  </c:dLbl>
                  <c:dLbl>
                    <c:idx val="2"/>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6-4AD0-4302-A479-BDFD69341769}"/>
                      </c:ext>
                    </c:extLst>
                  </c:dLbl>
                  <c:dLbl>
                    <c:idx val="3"/>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8-4AD0-4302-A479-BDFD69341769}"/>
                      </c:ext>
                    </c:extLst>
                  </c:dLbl>
                  <c:dLbl>
                    <c:idx val="4"/>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A-4AD0-4302-A479-BDFD69341769}"/>
                      </c:ext>
                    </c:extLst>
                  </c:dLbl>
                  <c:dLbl>
                    <c:idx val="5"/>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C-4AD0-4302-A479-BDFD69341769}"/>
                      </c:ext>
                    </c:extLst>
                  </c:dLbl>
                  <c:dLbl>
                    <c:idx val="6"/>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E-4AD0-4302-A479-BDFD69341769}"/>
                      </c:ext>
                    </c:extLst>
                  </c:dLbl>
                  <c:dLbl>
                    <c:idx val="7"/>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0-4AD0-4302-A479-BDFD69341769}"/>
                      </c:ext>
                    </c:extLst>
                  </c:dLbl>
                  <c:spPr>
                    <a:solidFill>
                      <a:sysClr val="window" lastClr="FFFFFF"/>
                    </a:solidFill>
                    <a:ln>
                      <a:solidFill>
                        <a:srgbClr val="A5A5A5"/>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xmlns:c15="http://schemas.microsoft.com/office/drawing/2012/chart" uri="{02D57815-91ED-43cb-92C2-25804820EDAC}">
                        <c15:formulaRef>
                          <c15:sqref>'Cleaned Data for Dashboard'!$D$2:$D$9</c15:sqref>
                        </c15:formulaRef>
                      </c:ext>
                    </c:extLst>
                    <c:numCache>
                      <c:formatCode>"₹"\ #,##0.00</c:formatCode>
                      <c:ptCount val="8"/>
                      <c:pt idx="0">
                        <c:v>530619</c:v>
                      </c:pt>
                      <c:pt idx="1">
                        <c:v>0</c:v>
                      </c:pt>
                      <c:pt idx="2">
                        <c:v>18073</c:v>
                      </c:pt>
                      <c:pt idx="3">
                        <c:v>30000</c:v>
                      </c:pt>
                      <c:pt idx="4">
                        <c:v>38178</c:v>
                      </c:pt>
                      <c:pt idx="5">
                        <c:v>362484</c:v>
                      </c:pt>
                      <c:pt idx="6">
                        <c:v>70000</c:v>
                      </c:pt>
                      <c:pt idx="7">
                        <c:v>70000</c:v>
                      </c:pt>
                    </c:numCache>
                  </c:numRef>
                </c:val>
                <c:extLst>
                  <c:ext xmlns:c16="http://schemas.microsoft.com/office/drawing/2014/chart" uri="{C3380CC4-5D6E-409C-BE32-E72D297353CC}">
                    <c16:uniqueId val="{00000021-4AD0-4302-A479-BDFD69341769}"/>
                  </c:ext>
                </c:extLst>
              </c15:ser>
            </c15:filteredPieSeries>
            <c15:filteredPieSeries>
              <c15:ser>
                <c:idx val="4"/>
                <c:order val="4"/>
                <c:tx>
                  <c:strRef>
                    <c:extLst>
                      <c:ext xmlns:c15="http://schemas.microsoft.com/office/drawing/2012/chart" uri="{02D57815-91ED-43cb-92C2-25804820EDAC}">
                        <c15:formulaRef>
                          <c15:sqref>'Cleaned Data for Dashboard'!$F$1</c15:sqref>
                        </c15:formulaRef>
                      </c:ext>
                    </c:extLst>
                    <c:strCache>
                      <c:ptCount val="1"/>
                      <c:pt idx="0">
                        <c:v>2016</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5-4AD0-4302-A479-BDFD693417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7-4AD0-4302-A479-BDFD693417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9-4AD0-4302-A479-BDFD693417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B-4AD0-4302-A479-BDFD693417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D-4AD0-4302-A479-BDFD6934176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F-4AD0-4302-A479-BDFD6934176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1-4AD0-4302-A479-BDFD6934176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3-4AD0-4302-A479-BDFD69341769}"/>
                    </c:ext>
                  </c:extLst>
                </c:dPt>
                <c:dLbls>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5-4AD0-4302-A479-BDFD69341769}"/>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7-4AD0-4302-A479-BDFD69341769}"/>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9-4AD0-4302-A479-BDFD69341769}"/>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B-4AD0-4302-A479-BDFD69341769}"/>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D-4AD0-4302-A479-BDFD69341769}"/>
                      </c:ext>
                    </c:extLst>
                  </c:dLbl>
                  <c:dLbl>
                    <c:idx val="5"/>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4F-4AD0-4302-A479-BDFD69341769}"/>
                      </c:ext>
                    </c:extLst>
                  </c:dLbl>
                  <c:dLbl>
                    <c:idx val="6"/>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51-4AD0-4302-A479-BDFD69341769}"/>
                      </c:ext>
                    </c:extLst>
                  </c:dLbl>
                  <c:dLbl>
                    <c:idx val="7"/>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53-4AD0-4302-A479-BDFD69341769}"/>
                      </c:ext>
                    </c:extLst>
                  </c:dLbl>
                  <c:spPr>
                    <a:solidFill>
                      <a:sysClr val="window" lastClr="FFFFFF"/>
                    </a:solidFill>
                    <a:ln>
                      <a:solidFill>
                        <a:srgbClr val="5B9BD5"/>
                      </a:solidFill>
                    </a:ln>
                    <a:effectLst/>
                  </c:spPr>
                  <c:dLblPos val="outEnd"/>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ormulaRef>
                          <c15:sqref>'Cleaned Data for Dashboard'!$A$2:$A$9</c15:sqref>
                        </c15:formulaRef>
                      </c:ext>
                    </c:extLst>
                    <c:strCache>
                      <c:ptCount val="8"/>
                      <c:pt idx="0">
                        <c:v>Antibiotics</c:v>
                      </c:pt>
                      <c:pt idx="1">
                        <c:v>Laxatives</c:v>
                      </c:pt>
                      <c:pt idx="2">
                        <c:v>AnTACids</c:v>
                      </c:pt>
                      <c:pt idx="3">
                        <c:v>Anti-pyretics</c:v>
                      </c:pt>
                      <c:pt idx="4">
                        <c:v>Anti-hypertensives</c:v>
                      </c:pt>
                      <c:pt idx="5">
                        <c:v>Analgesics</c:v>
                      </c:pt>
                      <c:pt idx="6">
                        <c:v>Blood THINners</c:v>
                      </c:pt>
                      <c:pt idx="7">
                        <c:v>Statins</c:v>
                      </c:pt>
                    </c:strCache>
                  </c:strRef>
                </c:cat>
                <c:val>
                  <c:numRef>
                    <c:extLst>
                      <c:ext xmlns:c15="http://schemas.microsoft.com/office/drawing/2012/chart" uri="{02D57815-91ED-43cb-92C2-25804820EDAC}">
                        <c15:formulaRef>
                          <c15:sqref>'Cleaned Data for Dashboard'!$F$2:$F$9</c15:sqref>
                        </c15:formulaRef>
                      </c:ext>
                    </c:extLst>
                    <c:numCache>
                      <c:formatCode>"₹"\ #,##0.00</c:formatCode>
                      <c:ptCount val="8"/>
                      <c:pt idx="0">
                        <c:v>182000</c:v>
                      </c:pt>
                      <c:pt idx="1">
                        <c:v>921000</c:v>
                      </c:pt>
                      <c:pt idx="2">
                        <c:v>484000</c:v>
                      </c:pt>
                      <c:pt idx="3">
                        <c:v>87494</c:v>
                      </c:pt>
                      <c:pt idx="4">
                        <c:v>419000</c:v>
                      </c:pt>
                      <c:pt idx="5">
                        <c:v>238000</c:v>
                      </c:pt>
                      <c:pt idx="6">
                        <c:v>380000</c:v>
                      </c:pt>
                      <c:pt idx="7">
                        <c:v>380000</c:v>
                      </c:pt>
                    </c:numCache>
                  </c:numRef>
                </c:val>
                <c:extLst>
                  <c:ext xmlns:c16="http://schemas.microsoft.com/office/drawing/2014/chart" uri="{C3380CC4-5D6E-409C-BE32-E72D297353CC}">
                    <c16:uniqueId val="{00000054-4AD0-4302-A479-BDFD69341769}"/>
                  </c:ext>
                </c:extLst>
              </c15:ser>
            </c15:filteredPieSeries>
          </c:ext>
        </c:extLst>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'Cleaned Data for Dashboard'!$A$2</c:f>
              <c:strCache>
                <c:ptCount val="1"/>
                <c:pt idx="0">
                  <c:v>Antibiotics</c:v>
                </c:pt>
              </c:strCache>
            </c:strRef>
          </c:tx>
          <c:spPr>
            <a:ln w="28575" cap="rnd">
              <a:solidFill>
                <a:schemeClr val="accent1"/>
              </a:solidFill>
              <a:round/>
            </a:ln>
            <a:effectLst/>
          </c:spPr>
          <c:marker>
            <c:symbol val="none"/>
          </c:marker>
          <c:cat>
            <c:strRef>
              <c:f>'Cleaned Data for Dashboard'!$B$1:$F$1</c:f>
              <c:strCache>
                <c:ptCount val="5"/>
                <c:pt idx="0">
                  <c:v>2012</c:v>
                </c:pt>
                <c:pt idx="1">
                  <c:v>2013</c:v>
                </c:pt>
                <c:pt idx="2">
                  <c:v>2014</c:v>
                </c:pt>
                <c:pt idx="3">
                  <c:v>2015</c:v>
                </c:pt>
                <c:pt idx="4">
                  <c:v>2016</c:v>
                </c:pt>
              </c:strCache>
            </c:strRef>
          </c:cat>
          <c:val>
            <c:numRef>
              <c:f>'Cleaned Data for Dashboard'!$B$2:$F$2</c:f>
              <c:numCache>
                <c:formatCode>"₹"\ #,##0.00</c:formatCode>
                <c:ptCount val="5"/>
                <c:pt idx="0">
                  <c:v>432521</c:v>
                </c:pt>
                <c:pt idx="1">
                  <c:v>227724</c:v>
                </c:pt>
                <c:pt idx="2">
                  <c:v>530619</c:v>
                </c:pt>
                <c:pt idx="3">
                  <c:v>182911</c:v>
                </c:pt>
                <c:pt idx="4">
                  <c:v>182000</c:v>
                </c:pt>
              </c:numCache>
            </c:numRef>
          </c:val>
          <c:smooth val="0"/>
          <c:extLst>
            <c:ext xmlns:c16="http://schemas.microsoft.com/office/drawing/2014/chart" uri="{C3380CC4-5D6E-409C-BE32-E72D297353CC}">
              <c16:uniqueId val="{00000000-1C43-402B-8B35-9048523D3E1A}"/>
            </c:ext>
          </c:extLst>
        </c:ser>
        <c:dLbls>
          <c:showLegendKey val="0"/>
          <c:showVal val="0"/>
          <c:showCatName val="0"/>
          <c:showSerName val="0"/>
          <c:showPercent val="0"/>
          <c:showBubbleSize val="0"/>
        </c:dLbls>
        <c:smooth val="0"/>
        <c:axId val="762673520"/>
        <c:axId val="1912641743"/>
      </c:lineChart>
      <c:catAx>
        <c:axId val="76267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12641743"/>
        <c:crosses val="autoZero"/>
        <c:auto val="1"/>
        <c:lblAlgn val="ctr"/>
        <c:lblOffset val="100"/>
        <c:noMultiLvlLbl val="0"/>
      </c:catAx>
      <c:valAx>
        <c:axId val="1912641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6267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281940</xdr:colOff>
      <xdr:row>0</xdr:row>
      <xdr:rowOff>129540</xdr:rowOff>
    </xdr:from>
    <xdr:to>
      <xdr:col>12</xdr:col>
      <xdr:colOff>205740</xdr:colOff>
      <xdr:row>17</xdr:row>
      <xdr:rowOff>49530</xdr:rowOff>
    </xdr:to>
    <xdr:graphicFrame macro="">
      <xdr:nvGraphicFramePr>
        <xdr:cNvPr id="5" name="Chart 4">
          <a:extLst>
            <a:ext uri="{FF2B5EF4-FFF2-40B4-BE49-F238E27FC236}">
              <a16:creationId xmlns:a16="http://schemas.microsoft.com/office/drawing/2014/main" id="{50F8D1D8-B7BA-AF17-B148-3F87482DC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594360</xdr:colOff>
      <xdr:row>42</xdr:row>
      <xdr:rowOff>87630</xdr:rowOff>
    </xdr:from>
    <xdr:to>
      <xdr:col>15</xdr:col>
      <xdr:colOff>419100</xdr:colOff>
      <xdr:row>58</xdr:row>
      <xdr:rowOff>167640</xdr:rowOff>
    </xdr:to>
    <xdr:graphicFrame macro="">
      <xdr:nvGraphicFramePr>
        <xdr:cNvPr id="7" name="Chart 6">
          <a:extLst>
            <a:ext uri="{FF2B5EF4-FFF2-40B4-BE49-F238E27FC236}">
              <a16:creationId xmlns:a16="http://schemas.microsoft.com/office/drawing/2014/main" id="{D18D21CC-A038-8890-BFAA-A27806A56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510540</xdr:colOff>
      <xdr:row>64</xdr:row>
      <xdr:rowOff>125730</xdr:rowOff>
    </xdr:from>
    <xdr:to>
      <xdr:col>13</xdr:col>
      <xdr:colOff>30480</xdr:colOff>
      <xdr:row>75</xdr:row>
      <xdr:rowOff>110490</xdr:rowOff>
    </xdr:to>
    <xdr:graphicFrame macro="">
      <xdr:nvGraphicFramePr>
        <xdr:cNvPr id="9" name="Chart 8">
          <a:extLst>
            <a:ext uri="{FF2B5EF4-FFF2-40B4-BE49-F238E27FC236}">
              <a16:creationId xmlns:a16="http://schemas.microsoft.com/office/drawing/2014/main" id="{A8B3E8C2-E1C0-5AE6-CF2D-401EFCFBB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0</xdr:colOff>
      <xdr:row>0</xdr:row>
      <xdr:rowOff>160020</xdr:rowOff>
    </xdr:from>
    <xdr:to>
      <xdr:col>9</xdr:col>
      <xdr:colOff>22860</xdr:colOff>
      <xdr:row>4</xdr:row>
      <xdr:rowOff>227340</xdr:rowOff>
    </xdr:to>
    <mc:AlternateContent xmlns:mc="http://schemas.openxmlformats.org/markup-compatibility/2006" xmlns:sle15="http://schemas.microsoft.com/office/drawing/2012/slicer">
      <mc:Choice Requires="sle15">
        <xdr:graphicFrame macro="">
          <xdr:nvGraphicFramePr>
            <xdr:cNvPr id="2" name="Regions">
              <a:extLst>
                <a:ext uri="{FF2B5EF4-FFF2-40B4-BE49-F238E27FC236}">
                  <a16:creationId xmlns:a16="http://schemas.microsoft.com/office/drawing/2014/main" id="{C703FD82-C537-505A-AFF7-42A4C4EE1A9E}"/>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5859780" y="160020"/>
              <a:ext cx="1851660" cy="936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594360</xdr:colOff>
      <xdr:row>5</xdr:row>
      <xdr:rowOff>198120</xdr:rowOff>
    </xdr:from>
    <xdr:to>
      <xdr:col>10</xdr:col>
      <xdr:colOff>390360</xdr:colOff>
      <xdr:row>15</xdr:row>
      <xdr:rowOff>216120</xdr:rowOff>
    </xdr:to>
    <mc:AlternateContent xmlns:mc="http://schemas.openxmlformats.org/markup-compatibility/2006" xmlns:sle15="http://schemas.microsoft.com/office/drawing/2012/slicer">
      <mc:Choice Requires="sle15">
        <xdr:graphicFrame macro="">
          <xdr:nvGraphicFramePr>
            <xdr:cNvPr id="3" name="Items">
              <a:extLst>
                <a:ext uri="{FF2B5EF4-FFF2-40B4-BE49-F238E27FC236}">
                  <a16:creationId xmlns:a16="http://schemas.microsoft.com/office/drawing/2014/main" id="{A1344B47-C960-4F8E-DF79-8C6E82A667CC}"/>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5844540" y="1295400"/>
              <a:ext cx="2844000" cy="230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746760</xdr:colOff>
      <xdr:row>2</xdr:row>
      <xdr:rowOff>30480</xdr:rowOff>
    </xdr:from>
    <xdr:to>
      <xdr:col>9</xdr:col>
      <xdr:colOff>91440</xdr:colOff>
      <xdr:row>21</xdr:row>
      <xdr:rowOff>160020</xdr:rowOff>
    </xdr:to>
    <xdr:graphicFrame macro="">
      <xdr:nvGraphicFramePr>
        <xdr:cNvPr id="2" name="Chart 1">
          <a:extLst>
            <a:ext uri="{FF2B5EF4-FFF2-40B4-BE49-F238E27FC236}">
              <a16:creationId xmlns:a16="http://schemas.microsoft.com/office/drawing/2014/main" id="{20AA4910-A094-701B-29FD-0C10EB541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106680</xdr:colOff>
      <xdr:row>6</xdr:row>
      <xdr:rowOff>160020</xdr:rowOff>
    </xdr:from>
    <xdr:to>
      <xdr:col>18</xdr:col>
      <xdr:colOff>510540</xdr:colOff>
      <xdr:row>26</xdr:row>
      <xdr:rowOff>106680</xdr:rowOff>
    </xdr:to>
    <xdr:graphicFrame macro="">
      <xdr:nvGraphicFramePr>
        <xdr:cNvPr id="2" name="Chart 1">
          <a:extLst>
            <a:ext uri="{FF2B5EF4-FFF2-40B4-BE49-F238E27FC236}">
              <a16:creationId xmlns:a16="http://schemas.microsoft.com/office/drawing/2014/main" id="{04BCF19C-FB38-41D0-920C-C3CC9DF57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822960</xdr:colOff>
      <xdr:row>11</xdr:row>
      <xdr:rowOff>99060</xdr:rowOff>
    </xdr:from>
    <xdr:to>
      <xdr:col>11</xdr:col>
      <xdr:colOff>464820</xdr:colOff>
      <xdr:row>19</xdr:row>
      <xdr:rowOff>7620</xdr:rowOff>
    </xdr:to>
    <mc:AlternateContent xmlns:mc="http://schemas.openxmlformats.org/markup-compatibility/2006" xmlns:tsle="http://schemas.microsoft.com/office/drawing/2012/timeslicer">
      <mc:Choice Requires="tsle">
        <xdr:graphicFrame macro="">
          <xdr:nvGraphicFramePr>
            <xdr:cNvPr id="4" name="Dates">
              <a:extLst>
                <a:ext uri="{FF2B5EF4-FFF2-40B4-BE49-F238E27FC236}">
                  <a16:creationId xmlns:a16="http://schemas.microsoft.com/office/drawing/2014/main" id="{2DBDBC49-33FC-CA44-EF67-89FB5CA0ACA7}"/>
                </a:ext>
              </a:extLst>
            </xdr:cNvPr>
            <xdr:cNvGraphicFramePr/>
          </xdr:nvGraphicFramePr>
          <xdr:xfrm>
            <a:off x="0" y="0"/>
            <a:ext cx="0" cy="0"/>
          </xdr:xfrm>
          <a:graphic>
            <a:graphicData uri="http://schemas.microsoft.com/office/drawing/2012/timeslicer">
              <tsle:timeslicer name="Dates"/>
            </a:graphicData>
          </a:graphic>
        </xdr:graphicFrame>
      </mc:Choice>
      <mc:Fallback xmlns="">
        <xdr:sp macro="" textlink="">
          <xdr:nvSpPr>
            <xdr:cNvPr id="0" name=""/>
            <xdr:cNvSpPr>
              <a:spLocks noTextEdit="1"/>
            </xdr:cNvSpPr>
          </xdr:nvSpPr>
          <xdr:spPr>
            <a:xfrm>
              <a:off x="1668780" y="2110740"/>
              <a:ext cx="56997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754380</xdr:colOff>
      <xdr:row>6</xdr:row>
      <xdr:rowOff>175260</xdr:rowOff>
    </xdr:from>
    <xdr:to>
      <xdr:col>4</xdr:col>
      <xdr:colOff>137160</xdr:colOff>
      <xdr:row>15</xdr:row>
      <xdr:rowOff>20955</xdr:rowOff>
    </xdr:to>
    <mc:AlternateContent xmlns:mc="http://schemas.openxmlformats.org/markup-compatibility/2006">
      <mc:Choice xmlns:sle15="http://schemas.microsoft.com/office/drawing/2012/slicer" Requires="sle15">
        <xdr:graphicFrame macro="">
          <xdr:nvGraphicFramePr>
            <xdr:cNvPr id="5" name="Products">
              <a:extLst>
                <a:ext uri="{FF2B5EF4-FFF2-40B4-BE49-F238E27FC236}">
                  <a16:creationId xmlns:a16="http://schemas.microsoft.com/office/drawing/2014/main" id="{512A14B6-FE00-7024-8768-968EC449494B}"/>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185928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0</xdr:rowOff>
    </xdr:from>
    <xdr:to>
      <xdr:col>8</xdr:col>
      <xdr:colOff>510540</xdr:colOff>
      <xdr:row>13</xdr:row>
      <xdr:rowOff>114300</xdr:rowOff>
    </xdr:to>
    <xdr:graphicFrame macro="">
      <xdr:nvGraphicFramePr>
        <xdr:cNvPr id="2" name="Chart 1">
          <a:extLst>
            <a:ext uri="{FF2B5EF4-FFF2-40B4-BE49-F238E27FC236}">
              <a16:creationId xmlns:a16="http://schemas.microsoft.com/office/drawing/2014/main" id="{ED86AC14-0270-4C1D-9529-58E7BF3AF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14</xdr:row>
      <xdr:rowOff>15240</xdr:rowOff>
    </xdr:from>
    <xdr:to>
      <xdr:col>8</xdr:col>
      <xdr:colOff>350520</xdr:colOff>
      <xdr:row>25</xdr:row>
      <xdr:rowOff>160020</xdr:rowOff>
    </xdr:to>
    <xdr:graphicFrame macro="">
      <xdr:nvGraphicFramePr>
        <xdr:cNvPr id="4" name="Chart 3">
          <a:extLst>
            <a:ext uri="{FF2B5EF4-FFF2-40B4-BE49-F238E27FC236}">
              <a16:creationId xmlns:a16="http://schemas.microsoft.com/office/drawing/2014/main" id="{7895026E-9586-4FE8-8215-AAFF09610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10</xdr:row>
      <xdr:rowOff>76200</xdr:rowOff>
    </xdr:from>
    <xdr:to>
      <xdr:col>13</xdr:col>
      <xdr:colOff>236220</xdr:colOff>
      <xdr:row>25</xdr:row>
      <xdr:rowOff>83820</xdr:rowOff>
    </xdr:to>
    <xdr:graphicFrame macro="">
      <xdr:nvGraphicFramePr>
        <xdr:cNvPr id="7" name="Chart 6">
          <a:extLst>
            <a:ext uri="{FF2B5EF4-FFF2-40B4-BE49-F238E27FC236}">
              <a16:creationId xmlns:a16="http://schemas.microsoft.com/office/drawing/2014/main" id="{BF206CEA-B8B6-4527-A846-9EBCE999D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198120</xdr:colOff>
      <xdr:row>10</xdr:row>
      <xdr:rowOff>144780</xdr:rowOff>
    </xdr:from>
    <xdr:to>
      <xdr:col>21</xdr:col>
      <xdr:colOff>518160</xdr:colOff>
      <xdr:row>25</xdr:row>
      <xdr:rowOff>114300</xdr:rowOff>
    </xdr:to>
    <xdr:graphicFrame macro="">
      <xdr:nvGraphicFramePr>
        <xdr:cNvPr id="8" name="Chart 7">
          <a:extLst>
            <a:ext uri="{FF2B5EF4-FFF2-40B4-BE49-F238E27FC236}">
              <a16:creationId xmlns:a16="http://schemas.microsoft.com/office/drawing/2014/main" id="{E2A8BDC1-2494-4239-8AEC-5C555E0B8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312420</xdr:colOff>
      <xdr:row>10</xdr:row>
      <xdr:rowOff>106680</xdr:rowOff>
    </xdr:from>
    <xdr:to>
      <xdr:col>16</xdr:col>
      <xdr:colOff>0</xdr:colOff>
      <xdr:row>25</xdr:row>
      <xdr:rowOff>114300</xdr:rowOff>
    </xdr:to>
    <mc:AlternateContent xmlns:mc="http://schemas.openxmlformats.org/markup-compatibility/2006">
      <mc:Choice xmlns:sle15="http://schemas.microsoft.com/office/drawing/2012/slicer" Requires="sle15">
        <xdr:graphicFrame macro="">
          <xdr:nvGraphicFramePr>
            <xdr:cNvPr id="9" name="Products 1">
              <a:extLst>
                <a:ext uri="{FF2B5EF4-FFF2-40B4-BE49-F238E27FC236}">
                  <a16:creationId xmlns:a16="http://schemas.microsoft.com/office/drawing/2014/main" id="{BF549ADE-DB38-4012-9994-045F60472D71}"/>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9989820" y="1935480"/>
              <a:ext cx="2110740" cy="27508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49094664352" createdVersion="8" refreshedVersion="8" minRefreshableVersion="3" recordCount="20" xr:uid="{9EB2513B-D67F-4C4D-A0C3-F41DE7D5BC1E}">
  <cacheSource type="worksheet">
    <worksheetSource name="Table7"/>
  </cacheSource>
  <cacheFields count="6">
    <cacheField name="Items" numFmtId="0">
      <sharedItems count="13">
        <s v="Beauty products"/>
        <s v="Mobile Accessories"/>
        <s v="Home décor"/>
        <s v="Kitchen ware"/>
        <s v="Smart watch"/>
        <s v="Baby products"/>
        <s v="Jewellery"/>
        <s v="Perfumes"/>
        <s v="Wrist Watch"/>
        <s v="Bass Headphones"/>
        <s v="Pet supplies"/>
        <s v="Beverages"/>
        <s v="Books"/>
      </sharedItems>
    </cacheField>
    <cacheField name="Prices" numFmtId="166">
      <sharedItems containsSemiMixedTypes="0" containsString="0" containsNumber="1" containsInteger="1" minValue="5000" maxValue="80000"/>
    </cacheField>
    <cacheField name="Dates" numFmtId="14">
      <sharedItems containsSemiMixedTypes="0" containsNonDate="0" containsDate="1" containsString="0" minDate="2024-01-01T00:00:00" maxDate="2024-11-05T00:00:00" count="18">
        <d v="2024-03-08T00:00:00"/>
        <d v="2024-01-06T00:00:00"/>
        <d v="2024-01-17T00:00:00"/>
        <d v="2024-04-10T00:00:00"/>
        <d v="2024-01-01T00:00:00"/>
        <d v="2024-01-22T00:00:00"/>
        <d v="2024-05-03T00:00:00"/>
        <d v="2024-01-19T00:00:00"/>
        <d v="2024-07-20T00:00:00"/>
        <d v="2024-01-10T00:00:00"/>
        <d v="2024-08-15T00:00:00"/>
        <d v="2024-01-13T00:00:00"/>
        <d v="2024-09-13T00:00:00"/>
        <d v="2024-01-11T00:00:00"/>
        <d v="2024-06-12T00:00:00"/>
        <d v="2024-01-07T00:00:00"/>
        <d v="2024-11-04T00:00:00"/>
        <d v="2024-01-05T00:00:00"/>
      </sharedItems>
      <fieldGroup par="5"/>
    </cacheField>
    <cacheField name="Regions" numFmtId="0">
      <sharedItems count="4">
        <s v="South"/>
        <s v="East"/>
        <s v="West"/>
        <s v="North"/>
      </sharedItems>
    </cacheField>
    <cacheField name="Days (Dates)" numFmtId="0" databaseField="0">
      <fieldGroup base="2">
        <rangePr groupBy="days" startDate="2024-01-01T00:00:00" endDate="2024-11-0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1-2024"/>
        </groupItems>
      </fieldGroup>
    </cacheField>
    <cacheField name="Months (Dates)" numFmtId="0" databaseField="0">
      <fieldGroup base="2">
        <rangePr groupBy="months" startDate="2024-01-01T00:00:00" endDate="2024-11-05T00:00:00"/>
        <groupItems count="14">
          <s v="&lt;01-01-2024"/>
          <s v="Jan"/>
          <s v="Feb"/>
          <s v="Mar"/>
          <s v="Apr"/>
          <s v="May"/>
          <s v="Jun"/>
          <s v="Jul"/>
          <s v="Aug"/>
          <s v="Sep"/>
          <s v="Oct"/>
          <s v="Nov"/>
          <s v="Dec"/>
          <s v="&gt;05-11-2024"/>
        </groupItems>
      </fieldGroup>
    </cacheField>
  </cacheFields>
  <extLst>
    <ext xmlns:x14="http://schemas.microsoft.com/office/spreadsheetml/2009/9/main" uri="{725AE2AE-9491-48be-B2B4-4EB974FC3084}">
      <x14:pivotCacheDefinition pivotCacheId="1110787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925341550923" createdVersion="8" refreshedVersion="8" minRefreshableVersion="3" recordCount="8" xr:uid="{50758649-05B1-4851-B874-D99061D57290}">
  <cacheSource type="worksheet">
    <worksheetSource name="Table4_210"/>
  </cacheSource>
  <cacheFields count="6">
    <cacheField name="Products" numFmtId="0">
      <sharedItems count="8">
        <s v="Antibiotics"/>
        <s v="Laxatives"/>
        <s v="AnTACids"/>
        <s v="Anti-pyretics"/>
        <s v="Anti-hypertensives"/>
        <s v="Analgesics"/>
        <s v="Blood THINners"/>
        <s v="Statins"/>
      </sharedItems>
    </cacheField>
    <cacheField name="2012" numFmtId="165">
      <sharedItems containsSemiMixedTypes="0" containsString="0" containsNumber="1" containsInteger="1" minValue="44244" maxValue="597406"/>
    </cacheField>
    <cacheField name="2013" numFmtId="165">
      <sharedItems containsSemiMixedTypes="0" containsString="0" containsNumber="1" containsInteger="1" minValue="0" maxValue="310416"/>
    </cacheField>
    <cacheField name="2014" numFmtId="165">
      <sharedItems containsSemiMixedTypes="0" containsString="0" containsNumber="1" containsInteger="1" minValue="0" maxValue="530619"/>
    </cacheField>
    <cacheField name="2015" numFmtId="165">
      <sharedItems containsSemiMixedTypes="0" containsString="0" containsNumber="1" containsInteger="1" minValue="0" maxValue="484888"/>
    </cacheField>
    <cacheField name="2016" numFmtId="165">
      <sharedItems containsSemiMixedTypes="0" containsString="0" containsNumber="1" containsInteger="1" minValue="87494" maxValue="921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5000"/>
    <x v="0"/>
    <x v="0"/>
  </r>
  <r>
    <x v="1"/>
    <n v="6000"/>
    <x v="1"/>
    <x v="1"/>
  </r>
  <r>
    <x v="2"/>
    <n v="7000"/>
    <x v="2"/>
    <x v="1"/>
  </r>
  <r>
    <x v="3"/>
    <n v="8000"/>
    <x v="3"/>
    <x v="1"/>
  </r>
  <r>
    <x v="4"/>
    <n v="9000"/>
    <x v="1"/>
    <x v="2"/>
  </r>
  <r>
    <x v="5"/>
    <n v="10000"/>
    <x v="4"/>
    <x v="3"/>
  </r>
  <r>
    <x v="2"/>
    <n v="10000"/>
    <x v="5"/>
    <x v="0"/>
  </r>
  <r>
    <x v="6"/>
    <n v="15000"/>
    <x v="6"/>
    <x v="3"/>
  </r>
  <r>
    <x v="7"/>
    <n v="18000"/>
    <x v="7"/>
    <x v="3"/>
  </r>
  <r>
    <x v="7"/>
    <n v="25000"/>
    <x v="8"/>
    <x v="2"/>
  </r>
  <r>
    <x v="8"/>
    <n v="25000"/>
    <x v="9"/>
    <x v="3"/>
  </r>
  <r>
    <x v="9"/>
    <n v="30000"/>
    <x v="10"/>
    <x v="0"/>
  </r>
  <r>
    <x v="10"/>
    <n v="30000"/>
    <x v="11"/>
    <x v="0"/>
  </r>
  <r>
    <x v="6"/>
    <n v="35000"/>
    <x v="12"/>
    <x v="0"/>
  </r>
  <r>
    <x v="11"/>
    <n v="36000"/>
    <x v="13"/>
    <x v="2"/>
  </r>
  <r>
    <x v="12"/>
    <n v="40000"/>
    <x v="14"/>
    <x v="2"/>
  </r>
  <r>
    <x v="0"/>
    <n v="45000"/>
    <x v="15"/>
    <x v="1"/>
  </r>
  <r>
    <x v="4"/>
    <n v="50000"/>
    <x v="5"/>
    <x v="3"/>
  </r>
  <r>
    <x v="7"/>
    <n v="70000"/>
    <x v="16"/>
    <x v="2"/>
  </r>
  <r>
    <x v="8"/>
    <n v="80000"/>
    <x v="17"/>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432521"/>
    <n v="227724"/>
    <n v="530619"/>
    <n v="182911"/>
    <n v="182000"/>
  </r>
  <r>
    <x v="1"/>
    <n v="44244"/>
    <n v="310416"/>
    <n v="0"/>
    <n v="92490"/>
    <n v="921000"/>
  </r>
  <r>
    <x v="2"/>
    <n v="433796"/>
    <n v="191447"/>
    <n v="18073"/>
    <n v="484888"/>
    <n v="484000"/>
  </r>
  <r>
    <x v="3"/>
    <n v="50000"/>
    <n v="60000"/>
    <n v="30000"/>
    <n v="0"/>
    <n v="87494"/>
  </r>
  <r>
    <x v="4"/>
    <n v="539770"/>
    <n v="125314"/>
    <n v="38178"/>
    <n v="419229"/>
    <n v="419000"/>
  </r>
  <r>
    <x v="5"/>
    <n v="597406"/>
    <n v="144037"/>
    <n v="362484"/>
    <n v="238034"/>
    <n v="238000"/>
  </r>
  <r>
    <x v="6"/>
    <n v="65000"/>
    <n v="0"/>
    <n v="70000"/>
    <n v="40000"/>
    <n v="380000"/>
  </r>
  <r>
    <x v="7"/>
    <n v="65000"/>
    <n v="0"/>
    <n v="70000"/>
    <n v="40000"/>
    <n v="3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F65D3A-CB1F-4BA4-8AEC-775DC845A8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s">
  <location ref="A3:B31" firstHeaderRow="1" firstDataRow="1" firstDataCol="1"/>
  <pivotFields count="6">
    <pivotField axis="axisRow" showAll="0" insertBlankRow="1" sortType="ascending">
      <items count="14">
        <item x="5"/>
        <item x="9"/>
        <item x="0"/>
        <item x="11"/>
        <item x="12"/>
        <item x="2"/>
        <item x="6"/>
        <item x="3"/>
        <item x="1"/>
        <item x="7"/>
        <item x="10"/>
        <item x="4"/>
        <item x="8"/>
        <item t="default"/>
      </items>
    </pivotField>
    <pivotField dataField="1" numFmtId="166" showAll="0" insertBlankRow="1"/>
    <pivotField numFmtId="14" showAll="0" insertBlankRow="1">
      <items count="19">
        <item x="4"/>
        <item x="17"/>
        <item x="1"/>
        <item x="15"/>
        <item x="9"/>
        <item x="13"/>
        <item x="11"/>
        <item x="2"/>
        <item x="7"/>
        <item x="5"/>
        <item x="0"/>
        <item x="3"/>
        <item x="6"/>
        <item x="14"/>
        <item x="8"/>
        <item x="10"/>
        <item x="12"/>
        <item x="16"/>
        <item t="default"/>
      </items>
    </pivotField>
    <pivotField axis="axisRow" multipleItemSelectionAllowed="1" showAll="0" insertBlankRow="1">
      <items count="5">
        <item x="1"/>
        <item x="3"/>
        <item x="0"/>
        <item x="2"/>
        <item t="default"/>
      </items>
    </pivotField>
    <pivotField showAll="0" insertBlankRow="1">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nsertBlankRow="1">
      <items count="15">
        <item sd="0" x="0"/>
        <item sd="0" x="1"/>
        <item sd="0" x="2"/>
        <item sd="0" x="3"/>
        <item sd="0" x="4"/>
        <item sd="0" x="5"/>
        <item sd="0" x="6"/>
        <item sd="0" x="7"/>
        <item sd="0" x="8"/>
        <item sd="0" x="9"/>
        <item sd="0" x="10"/>
        <item sd="0" x="11"/>
        <item sd="0" x="12"/>
        <item sd="0" x="13"/>
        <item t="default"/>
      </items>
    </pivotField>
  </pivotFields>
  <rowFields count="2">
    <field x="3"/>
    <field x="0"/>
  </rowFields>
  <rowItems count="28">
    <i>
      <x/>
    </i>
    <i r="1">
      <x v="2"/>
    </i>
    <i r="1">
      <x v="5"/>
    </i>
    <i r="1">
      <x v="7"/>
    </i>
    <i r="1">
      <x v="8"/>
    </i>
    <i t="blank">
      <x/>
    </i>
    <i>
      <x v="1"/>
    </i>
    <i r="1">
      <x/>
    </i>
    <i r="1">
      <x v="6"/>
    </i>
    <i r="1">
      <x v="9"/>
    </i>
    <i r="1">
      <x v="11"/>
    </i>
    <i r="1">
      <x v="12"/>
    </i>
    <i t="blank">
      <x v="1"/>
    </i>
    <i>
      <x v="2"/>
    </i>
    <i r="1">
      <x v="1"/>
    </i>
    <i r="1">
      <x v="2"/>
    </i>
    <i r="1">
      <x v="5"/>
    </i>
    <i r="1">
      <x v="6"/>
    </i>
    <i r="1">
      <x v="10"/>
    </i>
    <i t="blank">
      <x v="2"/>
    </i>
    <i>
      <x v="3"/>
    </i>
    <i r="1">
      <x v="3"/>
    </i>
    <i r="1">
      <x v="4"/>
    </i>
    <i r="1">
      <x v="9"/>
    </i>
    <i r="1">
      <x v="11"/>
    </i>
    <i r="1">
      <x v="12"/>
    </i>
    <i t="blank">
      <x v="3"/>
    </i>
    <i t="grand">
      <x/>
    </i>
  </rowItems>
  <colItems count="1">
    <i/>
  </colItems>
  <dataFields count="1">
    <dataField name="Sum of Prices" fld="1" baseField="0" baseItem="0" numFmtId="166"/>
  </dataFields>
  <formats count="15">
    <format dxfId="47">
      <pivotArea field="3" type="button" dataOnly="0" labelOnly="1" outline="0" axis="axisRow"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fieldPosition="0">
        <references count="2">
          <reference field="0" count="4">
            <x v="2"/>
            <x v="5"/>
            <x v="7"/>
            <x v="8"/>
          </reference>
          <reference field="3" count="1" selected="0">
            <x v="0"/>
          </reference>
        </references>
      </pivotArea>
    </format>
    <format dxfId="40">
      <pivotArea dataOnly="0" labelOnly="1" fieldPosition="0">
        <references count="2">
          <reference field="0" count="5">
            <x v="0"/>
            <x v="6"/>
            <x v="9"/>
            <x v="11"/>
            <x v="12"/>
          </reference>
          <reference field="3" count="1" selected="0">
            <x v="1"/>
          </reference>
        </references>
      </pivotArea>
    </format>
    <format dxfId="39">
      <pivotArea dataOnly="0" labelOnly="1" fieldPosition="0">
        <references count="2">
          <reference field="0" count="5">
            <x v="1"/>
            <x v="2"/>
            <x v="5"/>
            <x v="6"/>
            <x v="10"/>
          </reference>
          <reference field="3" count="1" selected="0">
            <x v="2"/>
          </reference>
        </references>
      </pivotArea>
    </format>
    <format dxfId="38">
      <pivotArea dataOnly="0" labelOnly="1" fieldPosition="0">
        <references count="2">
          <reference field="0" count="5">
            <x v="3"/>
            <x v="4"/>
            <x v="9"/>
            <x v="11"/>
            <x v="12"/>
          </reference>
          <reference field="3" count="1" selected="0">
            <x v="3"/>
          </reference>
        </references>
      </pivotArea>
    </format>
    <format dxfId="37">
      <pivotArea dataOnly="0" labelOnly="1" outline="0" axis="axisValues" fieldPosition="0"/>
    </format>
    <format dxfId="36">
      <pivotArea field="3" type="button" dataOnly="0" labelOnly="1" outline="0" axis="axisRow" fieldPosition="0"/>
    </format>
    <format dxfId="35">
      <pivotArea dataOnly="0" labelOnly="1" outline="0" axis="axisValues" fieldPosition="0"/>
    </format>
    <format dxfId="34">
      <pivotArea dataOnly="0" labelOnly="1" outline="0" axis="axisValues" fieldPosition="0"/>
    </format>
    <format dxfId="33">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Medium1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E6468-91A9-437D-805D-4920247FA13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s">
  <location ref="A3:K9" firstHeaderRow="1" firstDataRow="2" firstDataCol="1"/>
  <pivotFields count="6">
    <pivotField showAll="0" insertBlankRow="1" sortType="ascending">
      <items count="14">
        <item x="5"/>
        <item x="9"/>
        <item x="0"/>
        <item x="11"/>
        <item x="12"/>
        <item x="2"/>
        <item x="6"/>
        <item x="3"/>
        <item x="1"/>
        <item x="7"/>
        <item x="10"/>
        <item x="4"/>
        <item x="8"/>
        <item t="default"/>
      </items>
    </pivotField>
    <pivotField dataField="1" numFmtId="166" showAll="0" insertBlankRow="1"/>
    <pivotField numFmtId="14" showAll="0" insertBlankRow="1">
      <items count="19">
        <item x="4"/>
        <item x="17"/>
        <item x="1"/>
        <item x="15"/>
        <item x="9"/>
        <item x="13"/>
        <item x="11"/>
        <item x="2"/>
        <item x="7"/>
        <item x="5"/>
        <item x="0"/>
        <item x="3"/>
        <item x="6"/>
        <item x="14"/>
        <item x="8"/>
        <item x="10"/>
        <item x="12"/>
        <item x="16"/>
        <item t="default"/>
      </items>
    </pivotField>
    <pivotField axis="axisRow" multipleItemSelectionAllowed="1" showAll="0" insertBlankRow="1">
      <items count="5">
        <item x="1"/>
        <item x="3"/>
        <item x="0"/>
        <item x="2"/>
        <item t="default"/>
      </items>
    </pivotField>
    <pivotField showAll="0" insertBlankRow="1">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nsertBlankRow="1">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5"/>
  </colFields>
  <colItems count="10">
    <i>
      <x v="1"/>
    </i>
    <i>
      <x v="3"/>
    </i>
    <i>
      <x v="4"/>
    </i>
    <i>
      <x v="5"/>
    </i>
    <i>
      <x v="6"/>
    </i>
    <i>
      <x v="7"/>
    </i>
    <i>
      <x v="8"/>
    </i>
    <i>
      <x v="9"/>
    </i>
    <i>
      <x v="11"/>
    </i>
    <i t="grand">
      <x/>
    </i>
  </colItems>
  <dataFields count="1">
    <dataField name="Sum of Prices" fld="1" baseField="0" baseItem="0" numFmtId="166"/>
  </dataFields>
  <formats count="11">
    <format dxfId="118">
      <pivotArea field="3" type="button" dataOnly="0" labelOnly="1" outline="0" axis="axisRow" fieldPosition="0"/>
    </format>
    <format dxfId="117">
      <pivotArea type="all" dataOnly="0" outline="0" fieldPosition="0"/>
    </format>
    <format dxfId="116">
      <pivotArea outline="0" collapsedLevelsAreSubtotals="1" fieldPosition="0"/>
    </format>
    <format dxfId="115">
      <pivotArea field="3" type="button" dataOnly="0" labelOnly="1" outline="0" axis="axisRow" fieldPosition="0"/>
    </format>
    <format dxfId="114">
      <pivotArea dataOnly="0" labelOnly="1" fieldPosition="0">
        <references count="1">
          <reference field="3" count="0"/>
        </references>
      </pivotArea>
    </format>
    <format dxfId="113">
      <pivotArea dataOnly="0" labelOnly="1" grandRow="1" outline="0" fieldPosition="0"/>
    </format>
    <format dxfId="112">
      <pivotArea dataOnly="0" labelOnly="1" outline="0" axis="axisValues" fieldPosition="0"/>
    </format>
    <format dxfId="111">
      <pivotArea field="3" type="button" dataOnly="0" labelOnly="1" outline="0" axis="axisRow" fieldPosition="0"/>
    </format>
    <format dxfId="110">
      <pivotArea dataOnly="0" labelOnly="1" outline="0" axis="axisValues" fieldPosition="0"/>
    </format>
    <format dxfId="109">
      <pivotArea dataOnly="0" labelOnly="1" outline="0" axis="axisValues" fieldPosition="0"/>
    </format>
    <format dxfId="108">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20" series="1">
      <pivotArea type="data" outline="0" fieldPosition="0">
        <references count="2">
          <reference field="4294967294" count="1" selected="0">
            <x v="0"/>
          </reference>
          <reference field="5" count="1" selected="0">
            <x v="3"/>
          </reference>
        </references>
      </pivotArea>
    </chartFormat>
    <chartFormat chart="4" format="21" series="1">
      <pivotArea type="data" outline="0" fieldPosition="0">
        <references count="2">
          <reference field="4294967294" count="1" selected="0">
            <x v="0"/>
          </reference>
          <reference field="5" count="1" selected="0">
            <x v="4"/>
          </reference>
        </references>
      </pivotArea>
    </chartFormat>
    <chartFormat chart="4" format="22" series="1">
      <pivotArea type="data" outline="0" fieldPosition="0">
        <references count="2">
          <reference field="4294967294" count="1" selected="0">
            <x v="0"/>
          </reference>
          <reference field="5" count="1" selected="0">
            <x v="5"/>
          </reference>
        </references>
      </pivotArea>
    </chartFormat>
    <chartFormat chart="4" format="23" series="1">
      <pivotArea type="data" outline="0" fieldPosition="0">
        <references count="2">
          <reference field="4294967294" count="1" selected="0">
            <x v="0"/>
          </reference>
          <reference field="5" count="1" selected="0">
            <x v="6"/>
          </reference>
        </references>
      </pivotArea>
    </chartFormat>
    <chartFormat chart="4" format="24" series="1">
      <pivotArea type="data" outline="0" fieldPosition="0">
        <references count="2">
          <reference field="4294967294" count="1" selected="0">
            <x v="0"/>
          </reference>
          <reference field="5" count="1" selected="0">
            <x v="7"/>
          </reference>
        </references>
      </pivotArea>
    </chartFormat>
    <chartFormat chart="4" format="25" series="1">
      <pivotArea type="data" outline="0" fieldPosition="0">
        <references count="2">
          <reference field="4294967294" count="1" selected="0">
            <x v="0"/>
          </reference>
          <reference field="5" count="1" selected="0">
            <x v="8"/>
          </reference>
        </references>
      </pivotArea>
    </chartFormat>
    <chartFormat chart="4" format="26" series="1">
      <pivotArea type="data" outline="0" fieldPosition="0">
        <references count="2">
          <reference field="4294967294" count="1" selected="0">
            <x v="0"/>
          </reference>
          <reference field="5" count="1" selected="0">
            <x v="9"/>
          </reference>
        </references>
      </pivotArea>
    </chartFormat>
    <chartFormat chart="4" format="27" series="1">
      <pivotArea type="data" outline="0" fieldPosition="0">
        <references count="2">
          <reference field="4294967294" count="1" selected="0">
            <x v="0"/>
          </reference>
          <reference field="5" count="1" selected="0">
            <x v="11"/>
          </reference>
        </references>
      </pivotArea>
    </chartFormat>
    <chartFormat chart="4" format="28" series="1">
      <pivotArea type="data" outline="0" fieldPosition="0">
        <references count="2">
          <reference field="4294967294" count="1" selected="0">
            <x v="0"/>
          </reference>
          <reference field="5" count="1" selected="0">
            <x v="1"/>
          </reference>
        </references>
      </pivotArea>
    </chartFormat>
  </chart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DC0A2-1A69-4688-BAE9-67D1FCCFB163}"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dicines">
  <location ref="J1:O10" firstHeaderRow="0" firstDataRow="1" firstDataCol="1"/>
  <pivotFields count="6">
    <pivotField axis="axisRow" showAll="0">
      <items count="9">
        <item x="5"/>
        <item x="2"/>
        <item x="0"/>
        <item x="4"/>
        <item x="3"/>
        <item x="6"/>
        <item x="1"/>
        <item x="7"/>
        <item t="default"/>
      </items>
    </pivotField>
    <pivotField dataField="1" numFmtId="165" showAll="0"/>
    <pivotField dataField="1" numFmtId="165" showAll="0"/>
    <pivotField dataField="1" numFmtId="165" showAll="0"/>
    <pivotField dataField="1" numFmtId="165" showAll="0"/>
    <pivotField dataField="1" numFmtId="165" showAll="0"/>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2012" fld="1" baseField="0" baseItem="0" numFmtId="165"/>
    <dataField name="Sum of 2013" fld="2" baseField="0" baseItem="0" numFmtId="165"/>
    <dataField name="Sum of 2014" fld="3" baseField="0" baseItem="0" numFmtId="165"/>
    <dataField name="Sum of 2015" fld="4" baseField="0" baseItem="0" numFmtId="165"/>
    <dataField name="Sum of 2016" fld="5" baseField="0" baseItem="0" numFmtId="165"/>
  </dataFields>
  <formats count="21">
    <format dxfId="26">
      <pivotArea collapsedLevelsAreSubtotals="1" fieldPosition="0">
        <references count="1">
          <reference field="0" count="0"/>
        </references>
      </pivotArea>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outline="0" fieldPosition="0">
        <references count="1">
          <reference field="4294967294" count="5">
            <x v="0"/>
            <x v="1"/>
            <x v="2"/>
            <x v="3"/>
            <x v="4"/>
          </reference>
        </references>
      </pivotArea>
    </format>
    <format dxfId="22">
      <pivotArea collapsedLevelsAreSubtotals="1" fieldPosition="0">
        <references count="1">
          <reference field="0" count="0"/>
        </references>
      </pivotArea>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outline="0" fieldPosition="0">
        <references count="1">
          <reference field="4294967294" count="5">
            <x v="0"/>
            <x v="1"/>
            <x v="2"/>
            <x v="3"/>
            <x v="4"/>
          </reference>
        </references>
      </pivotArea>
    </format>
    <format dxfId="18">
      <pivotArea dataOnly="0" labelOnly="1" fieldPosition="0">
        <references count="1">
          <reference field="0" count="0"/>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5">
            <x v="0"/>
            <x v="1"/>
            <x v="2"/>
            <x v="3"/>
            <x v="4"/>
          </reference>
        </references>
      </pivotArea>
    </format>
    <format dxfId="11">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662C89-842B-4ADA-8D9C-C3E9747E6086}" autoFormatId="16" applyNumberFormats="0" applyBorderFormats="0" applyFontFormats="0" applyPatternFormats="0" applyAlignmentFormats="0" applyWidthHeightFormats="0">
  <queryTableRefresh nextId="6">
    <queryTableFields count="5">
      <queryTableField id="1" name="Employee IDs" tableColumnId="1"/>
      <queryTableField id="2" name="NAMES" tableColumnId="2"/>
      <queryTableField id="3" name="Departments" tableColumnId="3"/>
      <queryTableField id="4" name="Cities" tableColumnId="4"/>
      <queryTableField id="5" name="Dates of Joinin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C5F3C023-2AD4-4CF3-90B8-7226B8E6BB12}" autoFormatId="16" applyNumberFormats="0" applyBorderFormats="0" applyFontFormats="0" applyPatternFormats="0" applyAlignmentFormats="0" applyWidthHeightFormats="0">
  <queryTableRefresh nextId="7">
    <queryTableFields count="6">
      <queryTableField id="1" name="Products" tableColumnId="1"/>
      <queryTableField id="2" name="2012" tableColumnId="2"/>
      <queryTableField id="3" name="2013" tableColumnId="3"/>
      <queryTableField id="4" name="2014" tableColumnId="4"/>
      <queryTableField id="5" name="2015" tableColumnId="5"/>
      <queryTableField id="6" name="2016"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22A2E04D-F79D-4DDE-8221-F71A58903BCB}" autoFormatId="16" applyNumberFormats="0" applyBorderFormats="0" applyFontFormats="0" applyPatternFormats="0" applyAlignmentFormats="0" applyWidthHeightFormats="0">
  <queryTableRefresh nextId="7">
    <queryTableFields count="6">
      <queryTableField id="1" name="Products" tableColumnId="1"/>
      <queryTableField id="2" name="2012" tableColumnId="2"/>
      <queryTableField id="3" name="2013" tableColumnId="3"/>
      <queryTableField id="4" name="2014" tableColumnId="4"/>
      <queryTableField id="5" name="2015" tableColumnId="5"/>
      <queryTableField id="6" name="2016"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F72134CE-BBB5-4A11-BAC2-4E220284DC21}" sourceName="Regions">
  <extLst>
    <x:ext xmlns:x15="http://schemas.microsoft.com/office/spreadsheetml/2010/11/main" uri="{2F2917AC-EB37-4324-AD4E-5DD8C200BD13}">
      <x15:tableSlicerCache tableId="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331C30C8-1C29-41B1-B223-2BEA572F55D1}" sourceName="Items">
  <extLst>
    <x:ext xmlns:x15="http://schemas.microsoft.com/office/spreadsheetml/2010/11/main" uri="{2F2917AC-EB37-4324-AD4E-5DD8C200BD13}">
      <x15:tableSlicerCache tableId="6"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FF3FC4B-222B-4CCB-8CF6-3D61DBA32733}" sourceName="Products">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xr10:uid="{060F87D3-61CD-497A-BBCF-C100FC940911}" cache="Slicer_Regions" caption="Regions" columnCount="2" style="SlicerStyleDark2" rowHeight="234950"/>
  <slicer name="Items" xr10:uid="{4DFC7AE9-C7FF-4E68-ACF1-69838E012BA5}" cache="Slicer_Items" caption="Items" columnCount="2"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0F0143E3-CB0C-490C-B768-5BF6A3D9A6E3}" cache="Slicer_Products" caption="Product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FA7B358F-7454-4C4B-AFFC-575481220312}" cache="Slicer_Products" caption="Products" style="SlicerStyleLight2"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2856A-1332-4B7A-9F9B-F856C877DAB3}" name="Table1" displayName="Table1" ref="A1:E21" totalsRowShown="0" headerRowDxfId="107" dataDxfId="105" headerRowBorderDxfId="106">
  <autoFilter ref="A1:E21" xr:uid="{4832856A-1332-4B7A-9F9B-F856C877DAB3}"/>
  <tableColumns count="5">
    <tableColumn id="1" xr3:uid="{0D485EEC-8991-4B5A-AB48-F2F52651C226}" name="Column1" dataDxfId="104"/>
    <tableColumn id="2" xr3:uid="{7CADD621-9CA2-4ECC-A839-C3E33AE43DC4}" name="Column2" dataDxfId="103"/>
    <tableColumn id="3" xr3:uid="{7F93B89A-B8EB-49D5-A663-E3B33FCC2711}" name="Column3" dataDxfId="102"/>
    <tableColumn id="4" xr3:uid="{DD14D5F0-D64C-4200-B965-77F96D8E813D}" name="Column4" dataDxfId="101"/>
    <tableColumn id="5" xr3:uid="{50318817-E88A-4F09-96FD-8D797A5A3D2D}" name="Column5"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B3EFC0-1518-4C91-8766-08F0D108C2F9}" name="Table14" displayName="Table14" ref="H1:L21" totalsRowShown="0" headerRowDxfId="99" dataDxfId="97" headerRowBorderDxfId="98">
  <autoFilter ref="H1:L21" xr:uid="{DDB3EFC0-1518-4C91-8766-08F0D108C2F9}">
    <filterColumn colId="0">
      <customFilters>
        <customFilter operator="notEqual" val=" "/>
      </customFilters>
    </filterColumn>
    <filterColumn colId="2">
      <customFilters>
        <customFilter operator="notEqual" val=" "/>
      </customFilters>
    </filterColumn>
    <filterColumn colId="3">
      <customFilters>
        <customFilter operator="notEqual" val=" "/>
      </customFilters>
    </filterColumn>
  </autoFilter>
  <tableColumns count="5">
    <tableColumn id="1" xr3:uid="{0101322F-4397-433B-A1C3-954DDACA9ADE}" name="Column1" dataDxfId="96"/>
    <tableColumn id="2" xr3:uid="{8B88AE46-955A-49D5-BB99-06341CCD9C00}" name="Column2" dataDxfId="95"/>
    <tableColumn id="3" xr3:uid="{D5D5AF80-7CCB-45C7-BC7C-AE37F228003D}" name="Column3" dataDxfId="94"/>
    <tableColumn id="4" xr3:uid="{C4CA276A-D5E6-4486-A18A-24ED73ED3791}" name="Column4" dataDxfId="93"/>
    <tableColumn id="5" xr3:uid="{C61D933A-C31B-44A6-90F0-219D5F8EC114}" name="Column5" dataDxfId="9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ED6CA6-8EA3-4C70-BB3B-DCED50339971}" name="Table1_1" displayName="Table1_1" ref="A1:E16" tableType="queryTable" totalsRowShown="0">
  <autoFilter ref="A1:E16" xr:uid="{E6ED6CA6-8EA3-4C70-BB3B-DCED50339971}"/>
  <tableColumns count="5">
    <tableColumn id="1" xr3:uid="{B377227F-A2C7-44F3-B78C-E66CF0192B07}" uniqueName="1" name="Employee IDs" queryTableFieldId="1" dataDxfId="91"/>
    <tableColumn id="2" xr3:uid="{D810B849-1C90-41BF-AC6C-11F756AE9B1B}" uniqueName="2" name="NAMES" queryTableFieldId="2" dataDxfId="90"/>
    <tableColumn id="3" xr3:uid="{A222F04B-92E5-4D76-B684-7A4D275E3434}" uniqueName="3" name="Departments" queryTableFieldId="3" dataDxfId="89"/>
    <tableColumn id="4" xr3:uid="{35B8ECDC-F419-4012-8E5E-3E0737F838FF}" uniqueName="4" name="Cities" queryTableFieldId="4" dataDxfId="88"/>
    <tableColumn id="5" xr3:uid="{A653C8C3-83E2-460B-9363-4429CB8AF030}" uniqueName="5" name="Dates of Joining" queryTableFieldId="5" dataDxfId="8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76389E-B783-4F02-975E-BE83DB54E69C}" name="Table4" displayName="Table4" ref="B6:G20" totalsRowShown="0" headerRowDxfId="86" dataDxfId="84" headerRowBorderDxfId="85" tableBorderDxfId="83" totalsRowBorderDxfId="82" headerRowCellStyle="Normal 3" dataCellStyle="Normal 3">
  <autoFilter ref="B6:G20" xr:uid="{1176389E-B783-4F02-975E-BE83DB54E69C}"/>
  <tableColumns count="6">
    <tableColumn id="1" xr3:uid="{22616980-E027-4781-8306-632D2994EBA4}" name="Sales of 8 products across 5 years" dataDxfId="81" dataCellStyle="Normal 3"/>
    <tableColumn id="2" xr3:uid="{FF535228-C41F-436D-99A9-6D40B6AE7843}" name="Column1" dataDxfId="80" dataCellStyle="Normal 3"/>
    <tableColumn id="3" xr3:uid="{5AEAA046-9132-4025-8FB0-F77925241C57}" name="Column2" dataDxfId="79" dataCellStyle="Normal 3"/>
    <tableColumn id="4" xr3:uid="{8B06520D-034F-4D53-B51E-2AF1AB3D3B3C}" name="Column3" dataDxfId="78" dataCellStyle="Normal 3"/>
    <tableColumn id="5" xr3:uid="{74F062D3-4D17-4B47-AC15-2B0CD7E18B31}" name="Column4" dataDxfId="77" dataCellStyle="Normal 3"/>
    <tableColumn id="6" xr3:uid="{09B0382F-5053-4236-84EB-94D5871A80BD}" name="Column5" dataDxfId="76" dataCellStyle="Normal 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DEA368-3D7A-47B5-8252-3954BCE42160}" name="Table4_2" displayName="Table4_2" ref="A1:F9" tableType="queryTable" totalsRowShown="0">
  <autoFilter ref="A1:F9" xr:uid="{5DDEA368-3D7A-47B5-8252-3954BCE42160}"/>
  <tableColumns count="6">
    <tableColumn id="1" xr3:uid="{7C844557-38F7-4330-A8E0-D86708A04A41}" uniqueName="1" name="Products" queryTableFieldId="1" dataDxfId="75"/>
    <tableColumn id="2" xr3:uid="{C9356DAD-AAFF-4BDD-97CD-7E256CA4696D}" uniqueName="2" name="2012" queryTableFieldId="2" dataDxfId="74"/>
    <tableColumn id="3" xr3:uid="{CA0AC3AA-10E3-4EA8-8DA7-4829C0B2EE66}" uniqueName="3" name="2013" queryTableFieldId="3" dataDxfId="73"/>
    <tableColumn id="4" xr3:uid="{D4EA424A-B82D-4A65-AC4C-82CB2AA614CF}" uniqueName="4" name="2014" queryTableFieldId="4" dataDxfId="72"/>
    <tableColumn id="5" xr3:uid="{E28AF8C0-B5C6-4C70-A6C2-973CA3FE2C4A}" uniqueName="5" name="2015" queryTableFieldId="5" dataDxfId="71"/>
    <tableColumn id="6" xr3:uid="{B9F4DFBD-67D6-4BAE-A5AE-6B7EC2E550E9}" uniqueName="6" name="2016" queryTableFieldId="6" dataDxfId="7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063095-677C-47E9-8C1D-484F9D7CE19D}" name="Table2" displayName="Table2" ref="A1:E16" totalsRowShown="0" headerRowDxfId="69" dataDxfId="67" headerRowBorderDxfId="68">
  <autoFilter ref="A1:E16" xr:uid="{B7063095-677C-47E9-8C1D-484F9D7CE19D}"/>
  <tableColumns count="5">
    <tableColumn id="1" xr3:uid="{21A5E4B4-EFC9-458C-A0F2-E0227D938DF6}" name="Employee IDs" dataDxfId="66"/>
    <tableColumn id="2" xr3:uid="{429DC9F6-7111-43AD-97C6-642707DDB741}" name="NAMES" dataDxfId="65"/>
    <tableColumn id="3" xr3:uid="{F6630854-64F6-4C8D-ACCB-A1F906D7DCD9}" name="Departments" dataDxfId="64"/>
    <tableColumn id="4" xr3:uid="{2072BBC5-62EC-4978-9726-96E078D4061A}" name="Cities" dataDxfId="63"/>
    <tableColumn id="5" xr3:uid="{DF9AE0E1-E067-4AED-81DB-BCEA133C08ED}" name="Dates of Joining" dataDxfId="62"/>
  </tableColumns>
  <tableStyleInfo name="TableStyleMedium2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6FB094-DC95-42EC-86F9-651CC9DB497D}" name="Table6" displayName="Table6" ref="B2:E22" totalsRowShown="0" headerRowDxfId="61" dataDxfId="60" tableBorderDxfId="59" headerRowCellStyle="Normal 2 2">
  <autoFilter ref="B2:E22" xr:uid="{2C6FB094-DC95-42EC-86F9-651CC9DB497D}"/>
  <tableColumns count="4">
    <tableColumn id="1" xr3:uid="{AC14E53B-287C-4556-9531-EB17163EF255}" name="Items" dataDxfId="58" dataCellStyle="Normal 2 2"/>
    <tableColumn id="2" xr3:uid="{49D85F20-0712-4BD0-A195-4CCA12C7F5EC}" name="Prices" dataDxfId="57" dataCellStyle="Normal 2 2"/>
    <tableColumn id="3" xr3:uid="{3E55B1E1-2693-4AC7-B245-886871D24CD6}" name="Dates" dataDxfId="56" dataCellStyle="Normal 2 2"/>
    <tableColumn id="4" xr3:uid="{5FD7333D-F69C-41B6-A0B8-5BC45D1F0084}" name="Regions" dataDxfId="55" dataCellStyle="Normal 2 2"/>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74148C-A8B9-45CE-8987-6A588BC4BC59}" name="Table7" displayName="Table7" ref="A1:D21" totalsRowShown="0" headerRowDxfId="54" dataDxfId="53" tableBorderDxfId="52" headerRowCellStyle="Normal 2 2">
  <autoFilter ref="A1:D21" xr:uid="{2274148C-A8B9-45CE-8987-6A588BC4BC59}"/>
  <tableColumns count="4">
    <tableColumn id="1" xr3:uid="{37B204FD-3795-4D82-8DE7-95574C3EEC72}" name="Items" dataDxfId="51" dataCellStyle="Normal 2 2"/>
    <tableColumn id="2" xr3:uid="{E06FDACE-851A-4C3A-99FD-807A5B43A7B5}" name="Prices" dataDxfId="50" dataCellStyle="Normal 2 2"/>
    <tableColumn id="3" xr3:uid="{180C7162-E1F7-4774-9A8E-DF915AF811D9}" name="Dates" dataDxfId="49"/>
    <tableColumn id="4" xr3:uid="{CAC7CA22-D704-4472-9CCF-2589D26A617D}" name="Regions" dataDxfId="48"/>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2FC7CF-DE8D-4E42-89B5-3BFF3D72DCA0}" name="Table4_210" displayName="Table4_210" ref="A1:F9" tableType="queryTable" totalsRowShown="0">
  <autoFilter ref="A1:F9" xr:uid="{2E2FC7CF-DE8D-4E42-89B5-3BFF3D72DCA0}"/>
  <tableColumns count="6">
    <tableColumn id="1" xr3:uid="{899C4C8B-604D-42DE-9064-D8C7E29E5A22}" uniqueName="1" name="Products" queryTableFieldId="1" dataDxfId="32"/>
    <tableColumn id="2" xr3:uid="{A12CECAA-BFAC-4231-9585-E5E89C119377}" uniqueName="2" name="2012" queryTableFieldId="2" dataDxfId="31"/>
    <tableColumn id="3" xr3:uid="{032F20CB-67C6-4676-BEC2-15C6365E6394}" uniqueName="3" name="2013" queryTableFieldId="3" dataDxfId="30"/>
    <tableColumn id="4" xr3:uid="{EC3E435B-F6A8-40F5-AE84-FD83F1385F1D}" uniqueName="4" name="2014" queryTableFieldId="4" dataDxfId="29"/>
    <tableColumn id="5" xr3:uid="{4D458B44-F5C0-4F98-AFAA-FD023D357A8A}" uniqueName="5" name="2015" queryTableFieldId="5" dataDxfId="28"/>
    <tableColumn id="6" xr3:uid="{85291B6B-D7F9-4FB8-9617-C7F04BF0FF8B}" uniqueName="6" name="2016" queryTableFieldId="6"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s" xr10:uid="{BFE7659C-CFC3-472E-9310-58F059BDD060}" sourceName="Dates">
  <pivotTables>
    <pivotTable tabId="14" name="PivotTable1"/>
  </pivotTables>
  <state minimalRefreshVersion="6" lastRefreshVersion="6" pivotCacheId="111078737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s" xr10:uid="{F8A47953-F79E-4496-998A-4A1C83ECE397}" cache="NativeTimeline_Dates" caption="Dates Timeline" level="2" selectionLevel="2" scrollPosition="2024-01-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FEEA2-9644-40EA-AF99-EAA1E61E542F}">
  <dimension ref="A1:L21"/>
  <sheetViews>
    <sheetView workbookViewId="0">
      <selection activeCell="A2" sqref="A2:E21"/>
    </sheetView>
  </sheetViews>
  <sheetFormatPr defaultRowHeight="14.4" x14ac:dyDescent="0.3"/>
  <cols>
    <col min="1" max="1" width="17.109375" bestFit="1" customWidth="1"/>
    <col min="2" max="2" width="26.109375" bestFit="1" customWidth="1"/>
    <col min="3" max="3" width="16.109375" bestFit="1" customWidth="1"/>
    <col min="4" max="4" width="13.88671875" bestFit="1" customWidth="1"/>
    <col min="5" max="5" width="20" bestFit="1" customWidth="1"/>
    <col min="8" max="8" width="17.109375" bestFit="1" customWidth="1"/>
    <col min="9" max="9" width="26.109375" bestFit="1" customWidth="1"/>
    <col min="10" max="10" width="16.109375" bestFit="1" customWidth="1"/>
    <col min="11" max="11" width="16" bestFit="1" customWidth="1"/>
    <col min="12" max="12" width="20" bestFit="1" customWidth="1"/>
  </cols>
  <sheetData>
    <row r="1" spans="1:12" ht="17.399999999999999" x14ac:dyDescent="0.35">
      <c r="A1" s="12" t="s">
        <v>0</v>
      </c>
      <c r="B1" s="6" t="s">
        <v>1</v>
      </c>
      <c r="C1" s="6" t="s">
        <v>2</v>
      </c>
      <c r="D1" s="6" t="s">
        <v>3</v>
      </c>
      <c r="E1" s="7" t="s">
        <v>4</v>
      </c>
      <c r="H1" s="12" t="s">
        <v>0</v>
      </c>
      <c r="I1" s="6" t="s">
        <v>1</v>
      </c>
      <c r="J1" s="6" t="s">
        <v>2</v>
      </c>
      <c r="K1" s="6" t="s">
        <v>3</v>
      </c>
      <c r="L1" s="7" t="s">
        <v>4</v>
      </c>
    </row>
    <row r="2" spans="1:12" ht="17.399999999999999" x14ac:dyDescent="0.35">
      <c r="A2" s="10" t="s">
        <v>5</v>
      </c>
      <c r="B2" s="2" t="s">
        <v>6</v>
      </c>
      <c r="C2" s="2" t="s">
        <v>7</v>
      </c>
      <c r="D2" s="2" t="s">
        <v>8</v>
      </c>
      <c r="E2" s="3" t="s">
        <v>9</v>
      </c>
      <c r="H2" s="10" t="s">
        <v>5</v>
      </c>
      <c r="I2" s="2" t="s">
        <v>6</v>
      </c>
      <c r="J2" s="2" t="s">
        <v>7</v>
      </c>
      <c r="K2" s="2" t="s">
        <v>8</v>
      </c>
      <c r="L2" s="3" t="s">
        <v>9</v>
      </c>
    </row>
    <row r="3" spans="1:12" ht="15.6" x14ac:dyDescent="0.3">
      <c r="A3" s="11" t="s">
        <v>10</v>
      </c>
      <c r="B3" s="1" t="s">
        <v>11</v>
      </c>
      <c r="C3" s="1" t="s">
        <v>12</v>
      </c>
      <c r="D3" s="1" t="s">
        <v>13</v>
      </c>
      <c r="E3" s="4">
        <v>45057</v>
      </c>
      <c r="H3" s="11" t="s">
        <v>10</v>
      </c>
      <c r="I3" s="1" t="s">
        <v>11</v>
      </c>
      <c r="J3" s="1" t="s">
        <v>12</v>
      </c>
      <c r="K3" s="1" t="s">
        <v>13</v>
      </c>
      <c r="L3" s="4">
        <v>45057</v>
      </c>
    </row>
    <row r="4" spans="1:12" ht="15.6" x14ac:dyDescent="0.3">
      <c r="A4" s="11" t="s">
        <v>14</v>
      </c>
      <c r="B4" s="1" t="s">
        <v>15</v>
      </c>
      <c r="C4" s="1" t="s">
        <v>16</v>
      </c>
      <c r="D4" s="1" t="s">
        <v>17</v>
      </c>
      <c r="E4" s="4">
        <v>44257</v>
      </c>
      <c r="H4" s="11" t="s">
        <v>14</v>
      </c>
      <c r="I4" s="1" t="s">
        <v>15</v>
      </c>
      <c r="J4" s="1" t="s">
        <v>16</v>
      </c>
      <c r="K4" s="1" t="s">
        <v>17</v>
      </c>
      <c r="L4" s="4">
        <v>44257</v>
      </c>
    </row>
    <row r="5" spans="1:12" ht="15.6" x14ac:dyDescent="0.3">
      <c r="A5" s="11"/>
      <c r="B5" s="1" t="s">
        <v>18</v>
      </c>
      <c r="C5" s="1" t="s">
        <v>19</v>
      </c>
      <c r="D5" s="1" t="s">
        <v>20</v>
      </c>
      <c r="E5" s="5" t="s">
        <v>21</v>
      </c>
      <c r="H5" s="11"/>
      <c r="I5" s="1" t="s">
        <v>18</v>
      </c>
      <c r="J5" s="1" t="s">
        <v>19</v>
      </c>
      <c r="K5" s="1" t="s">
        <v>20</v>
      </c>
      <c r="L5" s="5" t="s">
        <v>21</v>
      </c>
    </row>
    <row r="6" spans="1:12" ht="15.6" x14ac:dyDescent="0.3">
      <c r="A6" s="11" t="s">
        <v>22</v>
      </c>
      <c r="B6" s="1" t="s">
        <v>23</v>
      </c>
      <c r="C6" s="1" t="s">
        <v>24</v>
      </c>
      <c r="D6" s="1"/>
      <c r="E6" s="5" t="s">
        <v>25</v>
      </c>
      <c r="H6" s="11" t="s">
        <v>22</v>
      </c>
      <c r="I6" s="1" t="s">
        <v>23</v>
      </c>
      <c r="J6" s="1" t="s">
        <v>24</v>
      </c>
      <c r="K6" s="1"/>
      <c r="L6" s="5" t="s">
        <v>25</v>
      </c>
    </row>
    <row r="7" spans="1:12" ht="15.6" x14ac:dyDescent="0.3">
      <c r="A7" s="11"/>
      <c r="B7" s="1"/>
      <c r="C7" s="1"/>
      <c r="D7" s="1"/>
      <c r="E7" s="4"/>
      <c r="H7" s="11"/>
      <c r="I7" s="1"/>
      <c r="J7" s="1"/>
      <c r="K7" s="1"/>
      <c r="L7" s="4"/>
    </row>
    <row r="8" spans="1:12" ht="15.6" x14ac:dyDescent="0.3">
      <c r="A8" s="11" t="s">
        <v>26</v>
      </c>
      <c r="B8" s="1" t="s">
        <v>27</v>
      </c>
      <c r="C8" s="1" t="s">
        <v>28</v>
      </c>
      <c r="D8" s="1" t="s">
        <v>29</v>
      </c>
      <c r="E8" s="5" t="s">
        <v>30</v>
      </c>
      <c r="H8" s="11" t="s">
        <v>26</v>
      </c>
      <c r="I8" s="1" t="s">
        <v>27</v>
      </c>
      <c r="J8" s="1" t="s">
        <v>28</v>
      </c>
      <c r="K8" s="1" t="s">
        <v>29</v>
      </c>
      <c r="L8" s="5" t="s">
        <v>30</v>
      </c>
    </row>
    <row r="9" spans="1:12" ht="15.6" x14ac:dyDescent="0.3">
      <c r="A9" s="11" t="s">
        <v>31</v>
      </c>
      <c r="B9" s="1" t="s">
        <v>32</v>
      </c>
      <c r="C9" s="1" t="s">
        <v>16</v>
      </c>
      <c r="D9" s="1" t="s">
        <v>33</v>
      </c>
      <c r="E9" s="4">
        <v>45057</v>
      </c>
      <c r="H9" s="11" t="s">
        <v>31</v>
      </c>
      <c r="I9" s="1" t="s">
        <v>32</v>
      </c>
      <c r="J9" s="1" t="s">
        <v>16</v>
      </c>
      <c r="K9" s="1" t="s">
        <v>33</v>
      </c>
      <c r="L9" s="4">
        <v>45057</v>
      </c>
    </row>
    <row r="10" spans="1:12" ht="15.6" x14ac:dyDescent="0.3">
      <c r="A10" s="11"/>
      <c r="B10" s="1"/>
      <c r="C10" s="1"/>
      <c r="D10" s="1"/>
      <c r="E10" s="5"/>
      <c r="H10" s="11"/>
      <c r="I10" s="1"/>
      <c r="J10" s="1"/>
      <c r="K10" s="1"/>
      <c r="L10" s="5"/>
    </row>
    <row r="11" spans="1:12" ht="15.6" x14ac:dyDescent="0.3">
      <c r="A11" s="11" t="s">
        <v>34</v>
      </c>
      <c r="B11" s="1" t="s">
        <v>35</v>
      </c>
      <c r="C11" s="1" t="s">
        <v>12</v>
      </c>
      <c r="D11" s="1" t="s">
        <v>13</v>
      </c>
      <c r="E11" s="5" t="s">
        <v>25</v>
      </c>
      <c r="H11" s="11" t="s">
        <v>34</v>
      </c>
      <c r="I11" s="1" t="s">
        <v>35</v>
      </c>
      <c r="J11" s="1" t="s">
        <v>12</v>
      </c>
      <c r="K11" s="1" t="s">
        <v>13</v>
      </c>
      <c r="L11" s="5" t="s">
        <v>25</v>
      </c>
    </row>
    <row r="12" spans="1:12" ht="15.6" x14ac:dyDescent="0.3">
      <c r="A12" s="11" t="s">
        <v>36</v>
      </c>
      <c r="B12" s="1" t="s">
        <v>37</v>
      </c>
      <c r="C12" s="1" t="s">
        <v>28</v>
      </c>
      <c r="D12" s="1" t="s">
        <v>20</v>
      </c>
      <c r="E12" s="4">
        <v>45057</v>
      </c>
      <c r="H12" s="11" t="s">
        <v>36</v>
      </c>
      <c r="I12" s="1" t="s">
        <v>37</v>
      </c>
      <c r="J12" s="1" t="s">
        <v>28</v>
      </c>
      <c r="K12" s="1" t="s">
        <v>20</v>
      </c>
      <c r="L12" s="4">
        <v>45057</v>
      </c>
    </row>
    <row r="13" spans="1:12" ht="15.6" x14ac:dyDescent="0.3">
      <c r="A13" s="11" t="s">
        <v>38</v>
      </c>
      <c r="B13" s="1" t="s">
        <v>39</v>
      </c>
      <c r="C13" s="1" t="s">
        <v>12</v>
      </c>
      <c r="D13" s="1"/>
      <c r="E13" s="5" t="s">
        <v>30</v>
      </c>
      <c r="H13" s="11" t="s">
        <v>38</v>
      </c>
      <c r="I13" s="1" t="s">
        <v>39</v>
      </c>
      <c r="J13" s="1" t="s">
        <v>12</v>
      </c>
      <c r="K13" s="1"/>
      <c r="L13" s="5" t="s">
        <v>30</v>
      </c>
    </row>
    <row r="14" spans="1:12" ht="15.6" x14ac:dyDescent="0.3">
      <c r="A14" s="11" t="s">
        <v>40</v>
      </c>
      <c r="B14" s="1" t="s">
        <v>41</v>
      </c>
      <c r="C14" s="1" t="s">
        <v>28</v>
      </c>
      <c r="D14" s="1" t="s">
        <v>42</v>
      </c>
      <c r="E14" s="5" t="s">
        <v>25</v>
      </c>
      <c r="H14" s="11" t="s">
        <v>40</v>
      </c>
      <c r="I14" s="1" t="s">
        <v>41</v>
      </c>
      <c r="J14" s="1" t="s">
        <v>28</v>
      </c>
      <c r="K14" s="1" t="s">
        <v>42</v>
      </c>
      <c r="L14" s="5" t="s">
        <v>25</v>
      </c>
    </row>
    <row r="15" spans="1:12" ht="15.6" x14ac:dyDescent="0.3">
      <c r="A15" s="11"/>
      <c r="B15" s="1"/>
      <c r="C15" s="1"/>
      <c r="D15" s="1"/>
      <c r="E15" s="4"/>
      <c r="H15" s="11"/>
      <c r="I15" s="1"/>
      <c r="J15" s="1"/>
      <c r="K15" s="1"/>
      <c r="L15" s="4"/>
    </row>
    <row r="16" spans="1:12" ht="15.6" x14ac:dyDescent="0.3">
      <c r="A16" s="11" t="s">
        <v>43</v>
      </c>
      <c r="B16" s="1" t="s">
        <v>44</v>
      </c>
      <c r="C16" s="1" t="s">
        <v>28</v>
      </c>
      <c r="D16" s="1" t="s">
        <v>45</v>
      </c>
      <c r="E16" s="5" t="s">
        <v>25</v>
      </c>
      <c r="H16" s="11" t="s">
        <v>43</v>
      </c>
      <c r="I16" s="1" t="s">
        <v>44</v>
      </c>
      <c r="J16" s="1" t="s">
        <v>28</v>
      </c>
      <c r="K16" s="1" t="s">
        <v>45</v>
      </c>
      <c r="L16" s="5" t="s">
        <v>25</v>
      </c>
    </row>
    <row r="17" spans="1:12" ht="15.6" x14ac:dyDescent="0.3">
      <c r="A17" s="11" t="s">
        <v>46</v>
      </c>
      <c r="B17" s="1" t="s">
        <v>11</v>
      </c>
      <c r="C17" s="1" t="s">
        <v>12</v>
      </c>
      <c r="D17" s="1" t="s">
        <v>13</v>
      </c>
      <c r="E17" s="4">
        <v>45057</v>
      </c>
      <c r="H17" s="11" t="s">
        <v>46</v>
      </c>
      <c r="I17" s="1" t="s">
        <v>11</v>
      </c>
      <c r="J17" s="1" t="s">
        <v>12</v>
      </c>
      <c r="K17" s="1" t="s">
        <v>13</v>
      </c>
      <c r="L17" s="4">
        <v>45057</v>
      </c>
    </row>
    <row r="18" spans="1:12" ht="15.6" x14ac:dyDescent="0.3">
      <c r="A18" s="11"/>
      <c r="B18" s="1"/>
      <c r="C18" s="1"/>
      <c r="D18" s="1"/>
      <c r="E18" s="5"/>
      <c r="H18" s="11"/>
      <c r="I18" s="1"/>
      <c r="J18" s="1"/>
      <c r="K18" s="1"/>
      <c r="L18" s="5"/>
    </row>
    <row r="19" spans="1:12" ht="15.6" x14ac:dyDescent="0.3">
      <c r="A19" s="11" t="s">
        <v>47</v>
      </c>
      <c r="B19" s="1" t="s">
        <v>35</v>
      </c>
      <c r="C19" s="1" t="s">
        <v>12</v>
      </c>
      <c r="D19" s="1" t="s">
        <v>13</v>
      </c>
      <c r="E19" s="5" t="s">
        <v>25</v>
      </c>
      <c r="H19" s="11" t="s">
        <v>47</v>
      </c>
      <c r="I19" s="1" t="s">
        <v>35</v>
      </c>
      <c r="J19" s="1" t="s">
        <v>12</v>
      </c>
      <c r="K19" s="1" t="s">
        <v>13</v>
      </c>
      <c r="L19" s="5" t="s">
        <v>25</v>
      </c>
    </row>
    <row r="20" spans="1:12" ht="15.6" x14ac:dyDescent="0.3">
      <c r="A20" s="11" t="s">
        <v>48</v>
      </c>
      <c r="B20" s="1" t="s">
        <v>39</v>
      </c>
      <c r="C20" s="1"/>
      <c r="D20" s="1" t="s">
        <v>49</v>
      </c>
      <c r="E20" s="5" t="s">
        <v>30</v>
      </c>
      <c r="H20" s="11" t="s">
        <v>48</v>
      </c>
      <c r="I20" s="1" t="s">
        <v>39</v>
      </c>
      <c r="J20" s="1"/>
      <c r="K20" s="1" t="s">
        <v>49</v>
      </c>
      <c r="L20" s="5" t="s">
        <v>30</v>
      </c>
    </row>
    <row r="21" spans="1:12" ht="15.6" x14ac:dyDescent="0.3">
      <c r="A21" s="13" t="s">
        <v>50</v>
      </c>
      <c r="B21" s="8" t="s">
        <v>51</v>
      </c>
      <c r="C21" s="8" t="s">
        <v>16</v>
      </c>
      <c r="D21" s="8" t="s">
        <v>17</v>
      </c>
      <c r="E21" s="9">
        <v>45057</v>
      </c>
      <c r="H21" s="13" t="s">
        <v>50</v>
      </c>
      <c r="I21" s="8" t="s">
        <v>51</v>
      </c>
      <c r="J21" s="8" t="s">
        <v>16</v>
      </c>
      <c r="K21" s="8" t="s">
        <v>17</v>
      </c>
      <c r="L21" s="9">
        <v>45057</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6801-1278-42F9-9006-3C9A12C670F4}">
  <dimension ref="A1:E16"/>
  <sheetViews>
    <sheetView workbookViewId="0">
      <selection sqref="A1:E16"/>
    </sheetView>
  </sheetViews>
  <sheetFormatPr defaultRowHeight="14.4" x14ac:dyDescent="0.3"/>
  <cols>
    <col min="1" max="1" width="14.5546875" bestFit="1" customWidth="1"/>
    <col min="2" max="2" width="20.6640625" bestFit="1" customWidth="1"/>
    <col min="3" max="3" width="14.109375" bestFit="1" customWidth="1"/>
    <col min="4" max="4" width="11.6640625" bestFit="1" customWidth="1"/>
    <col min="5" max="5" width="18.109375" bestFit="1" customWidth="1"/>
  </cols>
  <sheetData>
    <row r="1" spans="1:5" x14ac:dyDescent="0.3">
      <c r="A1" t="s">
        <v>5</v>
      </c>
      <c r="B1" t="s">
        <v>6</v>
      </c>
      <c r="C1" t="s">
        <v>7</v>
      </c>
      <c r="D1" t="s">
        <v>8</v>
      </c>
      <c r="E1" t="s">
        <v>9</v>
      </c>
    </row>
    <row r="2" spans="1:5" x14ac:dyDescent="0.3">
      <c r="A2" t="s">
        <v>10</v>
      </c>
      <c r="B2" t="s">
        <v>52</v>
      </c>
      <c r="C2" t="s">
        <v>12</v>
      </c>
      <c r="D2" t="s">
        <v>13</v>
      </c>
      <c r="E2" s="23">
        <v>45057</v>
      </c>
    </row>
    <row r="3" spans="1:5" x14ac:dyDescent="0.3">
      <c r="A3" t="s">
        <v>14</v>
      </c>
      <c r="B3" t="s">
        <v>53</v>
      </c>
      <c r="C3" t="s">
        <v>16</v>
      </c>
      <c r="D3" t="s">
        <v>17</v>
      </c>
      <c r="E3" s="23">
        <v>44257</v>
      </c>
    </row>
    <row r="4" spans="1:5" x14ac:dyDescent="0.3">
      <c r="A4" t="s">
        <v>79</v>
      </c>
      <c r="B4" t="s">
        <v>83</v>
      </c>
      <c r="C4" t="s">
        <v>19</v>
      </c>
      <c r="D4" t="s">
        <v>20</v>
      </c>
      <c r="E4" s="23">
        <v>43845</v>
      </c>
    </row>
    <row r="5" spans="1:5" x14ac:dyDescent="0.3">
      <c r="A5" t="s">
        <v>22</v>
      </c>
      <c r="B5" t="s">
        <v>82</v>
      </c>
      <c r="C5" t="s">
        <v>24</v>
      </c>
      <c r="D5" t="s">
        <v>80</v>
      </c>
      <c r="E5" s="23">
        <v>44421</v>
      </c>
    </row>
    <row r="6" spans="1:5" x14ac:dyDescent="0.3">
      <c r="A6" t="s">
        <v>26</v>
      </c>
      <c r="B6" t="s">
        <v>56</v>
      </c>
      <c r="C6" t="s">
        <v>28</v>
      </c>
      <c r="D6" t="s">
        <v>29</v>
      </c>
      <c r="E6" s="23">
        <v>44174</v>
      </c>
    </row>
    <row r="7" spans="1:5" x14ac:dyDescent="0.3">
      <c r="A7" t="s">
        <v>31</v>
      </c>
      <c r="B7" t="s">
        <v>57</v>
      </c>
      <c r="C7" t="s">
        <v>16</v>
      </c>
      <c r="D7" t="s">
        <v>33</v>
      </c>
      <c r="E7" s="23">
        <v>45057</v>
      </c>
    </row>
    <row r="8" spans="1:5" x14ac:dyDescent="0.3">
      <c r="A8" t="s">
        <v>34</v>
      </c>
      <c r="B8" t="s">
        <v>35</v>
      </c>
      <c r="C8" t="s">
        <v>12</v>
      </c>
      <c r="D8" t="s">
        <v>13</v>
      </c>
      <c r="E8" s="23">
        <v>44421</v>
      </c>
    </row>
    <row r="9" spans="1:5" x14ac:dyDescent="0.3">
      <c r="A9" t="s">
        <v>36</v>
      </c>
      <c r="B9" t="s">
        <v>58</v>
      </c>
      <c r="C9" t="s">
        <v>28</v>
      </c>
      <c r="D9" t="s">
        <v>20</v>
      </c>
      <c r="E9" s="23">
        <v>45057</v>
      </c>
    </row>
    <row r="10" spans="1:5" x14ac:dyDescent="0.3">
      <c r="A10" t="s">
        <v>38</v>
      </c>
      <c r="B10" t="s">
        <v>59</v>
      </c>
      <c r="C10" t="s">
        <v>12</v>
      </c>
      <c r="D10" t="s">
        <v>80</v>
      </c>
      <c r="E10" s="23">
        <v>44174</v>
      </c>
    </row>
    <row r="11" spans="1:5" x14ac:dyDescent="0.3">
      <c r="A11" t="s">
        <v>40</v>
      </c>
      <c r="B11" t="s">
        <v>41</v>
      </c>
      <c r="C11" t="s">
        <v>28</v>
      </c>
      <c r="D11" t="s">
        <v>42</v>
      </c>
      <c r="E11" s="23">
        <v>44421</v>
      </c>
    </row>
    <row r="12" spans="1:5" x14ac:dyDescent="0.3">
      <c r="A12" t="s">
        <v>43</v>
      </c>
      <c r="B12" t="s">
        <v>60</v>
      </c>
      <c r="C12" t="s">
        <v>28</v>
      </c>
      <c r="D12" t="s">
        <v>45</v>
      </c>
      <c r="E12" s="23">
        <v>44421</v>
      </c>
    </row>
    <row r="13" spans="1:5" x14ac:dyDescent="0.3">
      <c r="A13" t="s">
        <v>46</v>
      </c>
      <c r="B13" t="s">
        <v>52</v>
      </c>
      <c r="C13" t="s">
        <v>12</v>
      </c>
      <c r="D13" t="s">
        <v>13</v>
      </c>
      <c r="E13" s="23">
        <v>45057</v>
      </c>
    </row>
    <row r="14" spans="1:5" x14ac:dyDescent="0.3">
      <c r="A14" t="s">
        <v>47</v>
      </c>
      <c r="B14" t="s">
        <v>35</v>
      </c>
      <c r="C14" t="s">
        <v>12</v>
      </c>
      <c r="D14" t="s">
        <v>13</v>
      </c>
      <c r="E14" s="23">
        <v>44421</v>
      </c>
    </row>
    <row r="15" spans="1:5" x14ac:dyDescent="0.3">
      <c r="A15" t="s">
        <v>48</v>
      </c>
      <c r="B15" t="s">
        <v>59</v>
      </c>
      <c r="C15" t="s">
        <v>81</v>
      </c>
      <c r="D15" t="s">
        <v>49</v>
      </c>
      <c r="E15" s="23">
        <v>44174</v>
      </c>
    </row>
    <row r="16" spans="1:5" x14ac:dyDescent="0.3">
      <c r="A16" t="s">
        <v>50</v>
      </c>
      <c r="B16" t="s">
        <v>61</v>
      </c>
      <c r="C16" t="s">
        <v>16</v>
      </c>
      <c r="D16" t="s">
        <v>17</v>
      </c>
      <c r="E16" s="23">
        <v>45057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31A1-9368-42C0-96F0-DE073CF684BA}">
  <dimension ref="B2:R20"/>
  <sheetViews>
    <sheetView topLeftCell="E7" workbookViewId="0">
      <selection activeCell="J17" sqref="J17:R17"/>
    </sheetView>
  </sheetViews>
  <sheetFormatPr defaultRowHeight="14.4" x14ac:dyDescent="0.3"/>
  <cols>
    <col min="2" max="2" width="48.109375" customWidth="1"/>
    <col min="3" max="7" width="14.88671875" customWidth="1"/>
  </cols>
  <sheetData>
    <row r="2" spans="2:18" x14ac:dyDescent="0.3">
      <c r="B2" s="77" t="s">
        <v>78</v>
      </c>
      <c r="C2" s="77"/>
      <c r="D2" s="77"/>
      <c r="E2" s="77"/>
      <c r="F2" s="77"/>
      <c r="G2" s="77"/>
      <c r="H2" s="77"/>
      <c r="I2" s="77"/>
      <c r="J2" s="77"/>
      <c r="K2" s="77"/>
      <c r="L2" s="77"/>
    </row>
    <row r="3" spans="2:18" x14ac:dyDescent="0.3">
      <c r="B3" s="77"/>
      <c r="C3" s="77"/>
      <c r="D3" s="77"/>
      <c r="E3" s="77"/>
      <c r="F3" s="77"/>
      <c r="G3" s="77"/>
      <c r="H3" s="77"/>
      <c r="I3" s="77"/>
      <c r="J3" s="77"/>
      <c r="K3" s="77"/>
      <c r="L3" s="77"/>
    </row>
    <row r="4" spans="2:18" x14ac:dyDescent="0.3">
      <c r="B4" s="77"/>
      <c r="C4" s="77"/>
      <c r="D4" s="77"/>
      <c r="E4" s="77"/>
      <c r="F4" s="77"/>
      <c r="G4" s="77"/>
      <c r="H4" s="77"/>
      <c r="I4" s="77"/>
      <c r="J4" s="77"/>
      <c r="K4" s="77"/>
      <c r="L4" s="77"/>
    </row>
    <row r="6" spans="2:18" ht="72" x14ac:dyDescent="0.3">
      <c r="B6" s="33" t="s">
        <v>62</v>
      </c>
      <c r="C6" s="34" t="s">
        <v>0</v>
      </c>
      <c r="D6" s="34" t="s">
        <v>1</v>
      </c>
      <c r="E6" s="34" t="s">
        <v>2</v>
      </c>
      <c r="F6" s="34" t="s">
        <v>3</v>
      </c>
      <c r="G6" s="34" t="s">
        <v>4</v>
      </c>
      <c r="H6" s="26"/>
      <c r="I6" s="26"/>
      <c r="J6" s="26"/>
      <c r="K6" s="26"/>
      <c r="L6" s="26"/>
      <c r="M6" s="26"/>
      <c r="N6" s="26"/>
      <c r="O6" s="26"/>
      <c r="P6" s="26"/>
      <c r="Q6" s="26"/>
      <c r="R6" s="26"/>
    </row>
    <row r="7" spans="2:18" ht="31.2" x14ac:dyDescent="0.3">
      <c r="B7" s="29" t="s">
        <v>0</v>
      </c>
      <c r="C7" s="27" t="s">
        <v>1</v>
      </c>
      <c r="D7" s="27" t="s">
        <v>2</v>
      </c>
      <c r="E7" s="27" t="s">
        <v>3</v>
      </c>
      <c r="F7" s="27" t="s">
        <v>4</v>
      </c>
      <c r="G7" s="27" t="s">
        <v>63</v>
      </c>
      <c r="H7" s="26"/>
      <c r="I7" s="26"/>
      <c r="J7" s="26"/>
      <c r="K7" s="26"/>
      <c r="L7" s="26"/>
      <c r="M7" s="26"/>
      <c r="N7" s="26"/>
      <c r="O7" s="26"/>
      <c r="P7" s="26"/>
      <c r="Q7" s="26"/>
      <c r="R7" s="26"/>
    </row>
    <row r="8" spans="2:18" ht="15.6" x14ac:dyDescent="0.3">
      <c r="B8" s="30" t="s">
        <v>64</v>
      </c>
      <c r="C8" s="28" t="s">
        <v>65</v>
      </c>
      <c r="D8" s="28" t="s">
        <v>66</v>
      </c>
      <c r="E8" s="28" t="s">
        <v>67</v>
      </c>
      <c r="F8" s="28" t="s">
        <v>68</v>
      </c>
      <c r="G8" s="28">
        <v>2016</v>
      </c>
      <c r="H8" s="26"/>
      <c r="I8" s="26"/>
      <c r="J8" s="26"/>
      <c r="K8" s="26"/>
      <c r="L8" s="26"/>
      <c r="M8" s="26"/>
      <c r="N8" s="26"/>
      <c r="O8" s="26"/>
      <c r="P8" s="26"/>
      <c r="Q8" s="26"/>
      <c r="R8" s="26"/>
    </row>
    <row r="9" spans="2:18" ht="15.6" x14ac:dyDescent="0.3">
      <c r="B9" s="31" t="s">
        <v>69</v>
      </c>
      <c r="C9" s="24">
        <v>432521</v>
      </c>
      <c r="D9" s="24">
        <v>227724</v>
      </c>
      <c r="E9" s="24">
        <v>530619</v>
      </c>
      <c r="F9" s="24">
        <v>182911</v>
      </c>
      <c r="G9" s="24">
        <v>182000</v>
      </c>
      <c r="H9" s="26"/>
      <c r="I9" s="26"/>
      <c r="J9" s="26"/>
      <c r="K9" s="26"/>
      <c r="L9" s="26"/>
      <c r="M9" s="26"/>
      <c r="N9" s="26"/>
      <c r="O9" s="26"/>
      <c r="P9" s="26"/>
      <c r="Q9" s="26"/>
      <c r="R9" s="26"/>
    </row>
    <row r="10" spans="2:18" ht="15.6" x14ac:dyDescent="0.3">
      <c r="B10" s="32"/>
      <c r="C10" s="25"/>
      <c r="D10" s="25"/>
      <c r="E10" s="25"/>
      <c r="F10" s="25"/>
      <c r="G10" s="25"/>
      <c r="H10" s="26"/>
      <c r="I10" s="26"/>
      <c r="J10" s="26"/>
      <c r="K10" s="26"/>
      <c r="L10" s="26"/>
      <c r="M10" s="26"/>
      <c r="N10" s="26"/>
      <c r="O10" s="26"/>
      <c r="P10" s="26"/>
      <c r="Q10" s="26"/>
      <c r="R10" s="26"/>
    </row>
    <row r="11" spans="2:18" ht="15.6" x14ac:dyDescent="0.3">
      <c r="B11" s="31" t="s">
        <v>70</v>
      </c>
      <c r="C11" s="24">
        <v>44244</v>
      </c>
      <c r="D11" s="24">
        <v>310416</v>
      </c>
      <c r="E11" s="24"/>
      <c r="F11" s="24">
        <v>92490</v>
      </c>
      <c r="G11" s="24">
        <v>921000</v>
      </c>
      <c r="H11" s="26"/>
      <c r="I11" s="26"/>
      <c r="J11" s="26"/>
      <c r="K11" s="26"/>
      <c r="L11" s="26"/>
      <c r="M11" s="26"/>
      <c r="N11" s="26"/>
      <c r="O11" s="26"/>
      <c r="P11" s="26"/>
      <c r="Q11" s="26"/>
      <c r="R11" s="26"/>
    </row>
    <row r="12" spans="2:18" ht="15.6" x14ac:dyDescent="0.3">
      <c r="B12" s="32" t="s">
        <v>71</v>
      </c>
      <c r="C12" s="25">
        <v>433796</v>
      </c>
      <c r="D12" s="25">
        <v>191447</v>
      </c>
      <c r="E12" s="25">
        <v>18073</v>
      </c>
      <c r="F12" s="25">
        <v>484888</v>
      </c>
      <c r="G12" s="25">
        <v>484000</v>
      </c>
      <c r="H12" s="26"/>
      <c r="I12" s="26"/>
      <c r="J12" s="26"/>
      <c r="K12" s="26"/>
      <c r="L12" s="26"/>
      <c r="M12" s="26"/>
      <c r="N12" s="26"/>
      <c r="O12" s="26"/>
      <c r="P12" s="26"/>
      <c r="Q12" s="26"/>
      <c r="R12" s="26"/>
    </row>
    <row r="13" spans="2:18" ht="15.6" x14ac:dyDescent="0.3">
      <c r="B13" s="31" t="s">
        <v>72</v>
      </c>
      <c r="C13" s="24">
        <v>50000</v>
      </c>
      <c r="D13" s="24">
        <v>60000</v>
      </c>
      <c r="E13" s="24">
        <v>30000</v>
      </c>
      <c r="F13" s="24"/>
      <c r="G13" s="24">
        <v>87494</v>
      </c>
      <c r="H13" s="26"/>
      <c r="I13" s="26"/>
      <c r="J13" s="26"/>
      <c r="K13" s="26"/>
      <c r="L13" s="26"/>
      <c r="M13" s="26"/>
      <c r="N13" s="26"/>
      <c r="O13" s="26"/>
      <c r="P13" s="26"/>
      <c r="Q13" s="26"/>
      <c r="R13" s="26"/>
    </row>
    <row r="14" spans="2:18" ht="15.6" x14ac:dyDescent="0.3">
      <c r="B14" s="32"/>
      <c r="C14" s="25"/>
      <c r="D14" s="25"/>
      <c r="E14" s="25"/>
      <c r="F14" s="25"/>
      <c r="G14" s="25"/>
      <c r="H14" s="26"/>
      <c r="I14" s="26"/>
      <c r="J14" s="26"/>
      <c r="K14" s="26"/>
      <c r="L14" s="26"/>
      <c r="M14" s="26"/>
      <c r="N14" s="26"/>
      <c r="O14" s="26"/>
      <c r="P14" s="26"/>
      <c r="Q14" s="26"/>
      <c r="R14" s="26"/>
    </row>
    <row r="15" spans="2:18" ht="31.2" x14ac:dyDescent="0.3">
      <c r="B15" s="31" t="s">
        <v>73</v>
      </c>
      <c r="C15" s="24">
        <v>539770</v>
      </c>
      <c r="D15" s="24">
        <v>125314</v>
      </c>
      <c r="E15" s="24">
        <v>38178</v>
      </c>
      <c r="F15" s="24">
        <v>419229</v>
      </c>
      <c r="G15" s="24">
        <v>419000</v>
      </c>
      <c r="H15" s="26"/>
      <c r="I15" s="26"/>
      <c r="J15" s="26"/>
      <c r="K15" s="26"/>
      <c r="L15" s="26"/>
      <c r="M15" s="26"/>
      <c r="N15" s="26"/>
      <c r="O15" s="26"/>
      <c r="P15" s="26"/>
      <c r="Q15" s="26"/>
      <c r="R15" s="26"/>
    </row>
    <row r="16" spans="2:18" ht="16.2" thickBot="1" x14ac:dyDescent="0.35">
      <c r="B16" s="32" t="s">
        <v>74</v>
      </c>
      <c r="C16" s="25">
        <v>597406</v>
      </c>
      <c r="D16" s="25">
        <v>144037</v>
      </c>
      <c r="E16" s="25">
        <v>362484</v>
      </c>
      <c r="F16" s="25">
        <v>238034</v>
      </c>
      <c r="G16" s="25">
        <v>238000</v>
      </c>
      <c r="H16" s="26"/>
      <c r="I16" s="26"/>
      <c r="J16" s="26"/>
      <c r="K16" s="26"/>
      <c r="L16" s="26"/>
      <c r="M16" s="26"/>
      <c r="N16" s="26"/>
      <c r="O16" s="26"/>
      <c r="P16" s="26"/>
      <c r="Q16" s="26"/>
      <c r="R16" s="26"/>
    </row>
    <row r="17" spans="2:18" ht="115.2" customHeight="1" thickTop="1" thickBot="1" x14ac:dyDescent="0.35">
      <c r="B17" s="31"/>
      <c r="C17" s="24"/>
      <c r="D17" s="24"/>
      <c r="E17" s="24"/>
      <c r="F17" s="24"/>
      <c r="G17" s="24"/>
      <c r="H17" s="26"/>
      <c r="I17" s="26"/>
      <c r="J17" s="74" t="s">
        <v>75</v>
      </c>
      <c r="K17" s="75"/>
      <c r="L17" s="75"/>
      <c r="M17" s="75"/>
      <c r="N17" s="75"/>
      <c r="O17" s="75"/>
      <c r="P17" s="75"/>
      <c r="Q17" s="75"/>
      <c r="R17" s="76"/>
    </row>
    <row r="18" spans="2:18" ht="16.2" thickTop="1" x14ac:dyDescent="0.3">
      <c r="B18" s="32"/>
      <c r="C18" s="25"/>
      <c r="D18" s="25"/>
      <c r="E18" s="25"/>
      <c r="F18" s="25"/>
      <c r="G18" s="25"/>
      <c r="H18" s="26"/>
      <c r="I18" s="26"/>
      <c r="J18" s="26"/>
      <c r="K18" s="26"/>
      <c r="L18" s="26"/>
      <c r="M18" s="26"/>
      <c r="N18" s="26"/>
      <c r="O18" s="26"/>
      <c r="P18" s="26"/>
      <c r="Q18" s="26"/>
      <c r="R18" s="26"/>
    </row>
    <row r="19" spans="2:18" ht="15.6" x14ac:dyDescent="0.3">
      <c r="B19" s="32" t="s">
        <v>76</v>
      </c>
      <c r="C19" s="25">
        <v>65000</v>
      </c>
      <c r="D19" s="25"/>
      <c r="E19" s="25">
        <v>70000</v>
      </c>
      <c r="F19" s="25">
        <v>40000</v>
      </c>
      <c r="G19" s="25">
        <v>380000</v>
      </c>
    </row>
    <row r="20" spans="2:18" ht="15.6" x14ac:dyDescent="0.3">
      <c r="B20" s="32" t="s">
        <v>77</v>
      </c>
      <c r="C20" s="25">
        <v>65000</v>
      </c>
      <c r="D20" s="25"/>
      <c r="E20" s="25">
        <v>70000</v>
      </c>
      <c r="F20" s="25">
        <v>40000</v>
      </c>
      <c r="G20" s="25">
        <v>380000</v>
      </c>
    </row>
  </sheetData>
  <mergeCells count="2">
    <mergeCell ref="J17:R17"/>
    <mergeCell ref="B2:L4"/>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DF60-FEE7-43DE-A620-31E58BF35F9D}">
  <dimension ref="A1:I24"/>
  <sheetViews>
    <sheetView workbookViewId="0">
      <selection activeCell="A14" sqref="A14:I14"/>
    </sheetView>
  </sheetViews>
  <sheetFormatPr defaultRowHeight="14.4" x14ac:dyDescent="0.3"/>
  <cols>
    <col min="1" max="1" width="16.109375" bestFit="1" customWidth="1"/>
    <col min="2" max="6" width="11.88671875" bestFit="1" customWidth="1"/>
  </cols>
  <sheetData>
    <row r="1" spans="1:9" x14ac:dyDescent="0.3">
      <c r="A1" t="s">
        <v>64</v>
      </c>
      <c r="B1" t="s">
        <v>65</v>
      </c>
      <c r="C1" t="s">
        <v>66</v>
      </c>
      <c r="D1" t="s">
        <v>67</v>
      </c>
      <c r="E1" t="s">
        <v>68</v>
      </c>
      <c r="F1" t="s">
        <v>84</v>
      </c>
    </row>
    <row r="2" spans="1:9" x14ac:dyDescent="0.3">
      <c r="A2" t="s">
        <v>69</v>
      </c>
      <c r="B2" s="36">
        <v>432521</v>
      </c>
      <c r="C2" s="36">
        <v>227724</v>
      </c>
      <c r="D2" s="36">
        <v>530619</v>
      </c>
      <c r="E2" s="36">
        <v>182911</v>
      </c>
      <c r="F2" s="36">
        <v>182000</v>
      </c>
    </row>
    <row r="3" spans="1:9" x14ac:dyDescent="0.3">
      <c r="A3" t="s">
        <v>70</v>
      </c>
      <c r="B3" s="36">
        <v>44244</v>
      </c>
      <c r="C3" s="36">
        <v>310416</v>
      </c>
      <c r="D3" s="36">
        <v>0</v>
      </c>
      <c r="E3" s="36">
        <v>92490</v>
      </c>
      <c r="F3" s="36">
        <v>921000</v>
      </c>
    </row>
    <row r="4" spans="1:9" x14ac:dyDescent="0.3">
      <c r="A4" t="s">
        <v>71</v>
      </c>
      <c r="B4" s="36">
        <v>433796</v>
      </c>
      <c r="C4" s="36">
        <v>191447</v>
      </c>
      <c r="D4" s="36">
        <v>18073</v>
      </c>
      <c r="E4" s="36">
        <v>484888</v>
      </c>
      <c r="F4" s="36">
        <v>484000</v>
      </c>
    </row>
    <row r="5" spans="1:9" x14ac:dyDescent="0.3">
      <c r="A5" t="s">
        <v>72</v>
      </c>
      <c r="B5" s="36">
        <v>50000</v>
      </c>
      <c r="C5" s="36">
        <v>60000</v>
      </c>
      <c r="D5" s="36">
        <v>30000</v>
      </c>
      <c r="E5" s="36">
        <v>0</v>
      </c>
      <c r="F5" s="36">
        <v>87494</v>
      </c>
    </row>
    <row r="6" spans="1:9" x14ac:dyDescent="0.3">
      <c r="A6" t="s">
        <v>73</v>
      </c>
      <c r="B6" s="36">
        <v>539770</v>
      </c>
      <c r="C6" s="36">
        <v>125314</v>
      </c>
      <c r="D6" s="36">
        <v>38178</v>
      </c>
      <c r="E6" s="36">
        <v>419229</v>
      </c>
      <c r="F6" s="36">
        <v>419000</v>
      </c>
    </row>
    <row r="7" spans="1:9" x14ac:dyDescent="0.3">
      <c r="A7" t="s">
        <v>74</v>
      </c>
      <c r="B7" s="36">
        <v>597406</v>
      </c>
      <c r="C7" s="36">
        <v>144037</v>
      </c>
      <c r="D7" s="36">
        <v>362484</v>
      </c>
      <c r="E7" s="36">
        <v>238034</v>
      </c>
      <c r="F7" s="36">
        <v>238000</v>
      </c>
    </row>
    <row r="8" spans="1:9" x14ac:dyDescent="0.3">
      <c r="A8" t="s">
        <v>76</v>
      </c>
      <c r="B8" s="36">
        <v>65000</v>
      </c>
      <c r="C8" s="36">
        <v>0</v>
      </c>
      <c r="D8" s="36">
        <v>70000</v>
      </c>
      <c r="E8" s="36">
        <v>40000</v>
      </c>
      <c r="F8" s="36">
        <v>380000</v>
      </c>
    </row>
    <row r="9" spans="1:9" x14ac:dyDescent="0.3">
      <c r="A9" t="s">
        <v>77</v>
      </c>
      <c r="B9" s="36">
        <v>65000</v>
      </c>
      <c r="C9" s="36">
        <v>0</v>
      </c>
      <c r="D9" s="36">
        <v>70000</v>
      </c>
      <c r="E9" s="36">
        <v>40000</v>
      </c>
      <c r="F9" s="36">
        <v>380000</v>
      </c>
    </row>
    <row r="13" spans="1:9" ht="15" thickBot="1" x14ac:dyDescent="0.35"/>
    <row r="14" spans="1:9" ht="79.2" customHeight="1" thickTop="1" thickBot="1" x14ac:dyDescent="0.35">
      <c r="A14" s="74" t="s">
        <v>75</v>
      </c>
      <c r="B14" s="75"/>
      <c r="C14" s="75"/>
      <c r="D14" s="75"/>
      <c r="E14" s="75"/>
      <c r="F14" s="75"/>
      <c r="G14" s="75"/>
      <c r="H14" s="75"/>
      <c r="I14" s="76"/>
    </row>
    <row r="15" spans="1:9" ht="15" thickTop="1" x14ac:dyDescent="0.3">
      <c r="A15" s="35"/>
      <c r="B15" s="35"/>
      <c r="C15" s="35"/>
      <c r="D15" s="35"/>
      <c r="E15" s="35"/>
      <c r="F15" s="35"/>
      <c r="G15" s="35"/>
    </row>
    <row r="16" spans="1:9" x14ac:dyDescent="0.3">
      <c r="A16" s="35"/>
      <c r="B16" s="35"/>
      <c r="C16" s="35"/>
      <c r="D16" s="35"/>
      <c r="E16" s="35"/>
      <c r="F16" s="35"/>
      <c r="G16" s="35"/>
    </row>
    <row r="17" spans="1:7" x14ac:dyDescent="0.3">
      <c r="A17" s="35"/>
      <c r="B17" s="35"/>
      <c r="C17" s="35"/>
      <c r="D17" s="35"/>
      <c r="E17" s="35"/>
      <c r="F17" s="35"/>
      <c r="G17" s="35"/>
    </row>
    <row r="18" spans="1:7" x14ac:dyDescent="0.3">
      <c r="A18" s="35"/>
      <c r="B18" s="35"/>
      <c r="C18" s="35"/>
      <c r="D18" s="35"/>
      <c r="E18" s="35"/>
      <c r="F18" s="35"/>
      <c r="G18" s="35"/>
    </row>
    <row r="19" spans="1:7" x14ac:dyDescent="0.3">
      <c r="A19" s="35"/>
      <c r="B19" s="35"/>
      <c r="C19" s="35"/>
      <c r="D19" s="35"/>
      <c r="E19" s="35"/>
      <c r="F19" s="35"/>
      <c r="G19" s="35"/>
    </row>
    <row r="20" spans="1:7" x14ac:dyDescent="0.3">
      <c r="A20" s="35"/>
      <c r="B20" s="35"/>
      <c r="C20" s="35"/>
      <c r="D20" s="35"/>
      <c r="E20" s="35"/>
      <c r="F20" s="35"/>
      <c r="G20" s="35"/>
    </row>
    <row r="21" spans="1:7" x14ac:dyDescent="0.3">
      <c r="A21" s="35"/>
      <c r="B21" s="35"/>
      <c r="C21" s="35"/>
      <c r="D21" s="35"/>
      <c r="E21" s="35"/>
      <c r="F21" s="35"/>
      <c r="G21" s="35"/>
    </row>
    <row r="22" spans="1:7" x14ac:dyDescent="0.3">
      <c r="A22" s="35"/>
      <c r="B22" s="35"/>
      <c r="C22" s="35"/>
      <c r="D22" s="35"/>
      <c r="E22" s="35"/>
      <c r="F22" s="35"/>
      <c r="G22" s="35"/>
    </row>
    <row r="23" spans="1:7" x14ac:dyDescent="0.3">
      <c r="A23" s="35"/>
      <c r="B23" s="35"/>
      <c r="C23" s="35"/>
      <c r="D23" s="35"/>
      <c r="E23" s="35"/>
      <c r="F23" s="35"/>
      <c r="G23" s="35"/>
    </row>
    <row r="24" spans="1:7" x14ac:dyDescent="0.3">
      <c r="A24" s="35"/>
      <c r="B24" s="35"/>
      <c r="C24" s="35"/>
      <c r="D24" s="35"/>
      <c r="E24" s="35"/>
      <c r="F24" s="35"/>
      <c r="G24" s="35"/>
    </row>
  </sheetData>
  <mergeCells count="1">
    <mergeCell ref="A14:I1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490B-190D-4B04-A649-0701CD070542}">
  <dimension ref="A1:E16"/>
  <sheetViews>
    <sheetView workbookViewId="0">
      <selection activeCell="E18" sqref="E18"/>
    </sheetView>
  </sheetViews>
  <sheetFormatPr defaultRowHeight="14.4" x14ac:dyDescent="0.3"/>
  <cols>
    <col min="1" max="1" width="18.88671875" customWidth="1"/>
    <col min="2" max="2" width="27.109375" bestFit="1" customWidth="1"/>
    <col min="3" max="3" width="17.88671875" customWidth="1"/>
    <col min="4" max="4" width="15" bestFit="1" customWidth="1"/>
    <col min="5" max="5" width="21.6640625" customWidth="1"/>
  </cols>
  <sheetData>
    <row r="1" spans="1:5" ht="18.600000000000001" x14ac:dyDescent="0.3">
      <c r="A1" s="20" t="s">
        <v>5</v>
      </c>
      <c r="B1" s="21" t="s">
        <v>6</v>
      </c>
      <c r="C1" s="21" t="s">
        <v>7</v>
      </c>
      <c r="D1" s="21" t="s">
        <v>8</v>
      </c>
      <c r="E1" s="22" t="s">
        <v>9</v>
      </c>
    </row>
    <row r="2" spans="1:5" ht="17.399999999999999" x14ac:dyDescent="0.3">
      <c r="A2" s="14" t="s">
        <v>10</v>
      </c>
      <c r="B2" s="15" t="s">
        <v>52</v>
      </c>
      <c r="C2" s="15" t="s">
        <v>12</v>
      </c>
      <c r="D2" s="15" t="s">
        <v>13</v>
      </c>
      <c r="E2" s="16">
        <v>45057</v>
      </c>
    </row>
    <row r="3" spans="1:5" ht="17.399999999999999" x14ac:dyDescent="0.3">
      <c r="A3" s="14" t="s">
        <v>14</v>
      </c>
      <c r="B3" s="15" t="s">
        <v>53</v>
      </c>
      <c r="C3" s="15" t="s">
        <v>16</v>
      </c>
      <c r="D3" s="15" t="s">
        <v>17</v>
      </c>
      <c r="E3" s="16">
        <v>44257</v>
      </c>
    </row>
    <row r="4" spans="1:5" ht="17.399999999999999" x14ac:dyDescent="0.3">
      <c r="A4" s="14" t="s">
        <v>54</v>
      </c>
      <c r="B4" s="15" t="s">
        <v>18</v>
      </c>
      <c r="C4" s="15" t="s">
        <v>19</v>
      </c>
      <c r="D4" s="15" t="s">
        <v>20</v>
      </c>
      <c r="E4" s="16">
        <v>43845</v>
      </c>
    </row>
    <row r="5" spans="1:5" ht="17.399999999999999" x14ac:dyDescent="0.3">
      <c r="A5" s="14" t="s">
        <v>22</v>
      </c>
      <c r="B5" s="15" t="s">
        <v>55</v>
      </c>
      <c r="C5" s="15" t="s">
        <v>24</v>
      </c>
      <c r="D5" s="15" t="s">
        <v>45</v>
      </c>
      <c r="E5" s="16">
        <v>44421</v>
      </c>
    </row>
    <row r="6" spans="1:5" ht="17.399999999999999" x14ac:dyDescent="0.3">
      <c r="A6" s="14" t="s">
        <v>26</v>
      </c>
      <c r="B6" s="15" t="s">
        <v>56</v>
      </c>
      <c r="C6" s="15" t="s">
        <v>28</v>
      </c>
      <c r="D6" s="15" t="s">
        <v>29</v>
      </c>
      <c r="E6" s="16">
        <v>44090</v>
      </c>
    </row>
    <row r="7" spans="1:5" ht="17.399999999999999" x14ac:dyDescent="0.3">
      <c r="A7" s="14" t="s">
        <v>31</v>
      </c>
      <c r="B7" s="15" t="s">
        <v>57</v>
      </c>
      <c r="C7" s="15" t="s">
        <v>16</v>
      </c>
      <c r="D7" s="15" t="s">
        <v>33</v>
      </c>
      <c r="E7" s="16">
        <v>45057</v>
      </c>
    </row>
    <row r="8" spans="1:5" ht="17.399999999999999" x14ac:dyDescent="0.3">
      <c r="A8" s="14" t="s">
        <v>34</v>
      </c>
      <c r="B8" s="15" t="s">
        <v>35</v>
      </c>
      <c r="C8" s="15" t="s">
        <v>12</v>
      </c>
      <c r="D8" s="15" t="s">
        <v>13</v>
      </c>
      <c r="E8" s="16">
        <v>44421</v>
      </c>
    </row>
    <row r="9" spans="1:5" ht="17.399999999999999" x14ac:dyDescent="0.3">
      <c r="A9" s="14" t="s">
        <v>36</v>
      </c>
      <c r="B9" s="15" t="s">
        <v>58</v>
      </c>
      <c r="C9" s="15" t="s">
        <v>28</v>
      </c>
      <c r="D9" s="15" t="s">
        <v>20</v>
      </c>
      <c r="E9" s="16">
        <v>45057</v>
      </c>
    </row>
    <row r="10" spans="1:5" ht="17.399999999999999" x14ac:dyDescent="0.3">
      <c r="A10" s="14" t="s">
        <v>38</v>
      </c>
      <c r="B10" s="15" t="s">
        <v>59</v>
      </c>
      <c r="C10" s="15" t="s">
        <v>12</v>
      </c>
      <c r="D10" s="15" t="s">
        <v>45</v>
      </c>
      <c r="E10" s="16" t="s">
        <v>30</v>
      </c>
    </row>
    <row r="11" spans="1:5" ht="17.399999999999999" x14ac:dyDescent="0.3">
      <c r="A11" s="14" t="s">
        <v>40</v>
      </c>
      <c r="B11" s="15" t="s">
        <v>41</v>
      </c>
      <c r="C11" s="15" t="s">
        <v>28</v>
      </c>
      <c r="D11" s="15" t="s">
        <v>42</v>
      </c>
      <c r="E11" s="16">
        <v>44421</v>
      </c>
    </row>
    <row r="12" spans="1:5" ht="17.399999999999999" x14ac:dyDescent="0.3">
      <c r="A12" s="14" t="s">
        <v>43</v>
      </c>
      <c r="B12" s="15" t="s">
        <v>60</v>
      </c>
      <c r="C12" s="15" t="s">
        <v>28</v>
      </c>
      <c r="D12" s="15" t="s">
        <v>45</v>
      </c>
      <c r="E12" s="16">
        <v>44421</v>
      </c>
    </row>
    <row r="13" spans="1:5" ht="17.399999999999999" x14ac:dyDescent="0.3">
      <c r="A13" s="14" t="s">
        <v>46</v>
      </c>
      <c r="B13" s="15" t="s">
        <v>52</v>
      </c>
      <c r="C13" s="15" t="s">
        <v>12</v>
      </c>
      <c r="D13" s="15" t="s">
        <v>13</v>
      </c>
      <c r="E13" s="16">
        <v>45057</v>
      </c>
    </row>
    <row r="14" spans="1:5" ht="17.399999999999999" x14ac:dyDescent="0.3">
      <c r="A14" s="14" t="s">
        <v>47</v>
      </c>
      <c r="B14" s="15" t="s">
        <v>35</v>
      </c>
      <c r="C14" s="15" t="s">
        <v>12</v>
      </c>
      <c r="D14" s="15" t="s">
        <v>13</v>
      </c>
      <c r="E14" s="16">
        <v>44421</v>
      </c>
    </row>
    <row r="15" spans="1:5" ht="17.399999999999999" x14ac:dyDescent="0.3">
      <c r="A15" s="14" t="s">
        <v>48</v>
      </c>
      <c r="B15" s="15" t="s">
        <v>59</v>
      </c>
      <c r="C15" s="15" t="s">
        <v>19</v>
      </c>
      <c r="D15" s="15" t="s">
        <v>49</v>
      </c>
      <c r="E15" s="16" t="s">
        <v>30</v>
      </c>
    </row>
    <row r="16" spans="1:5" ht="17.399999999999999" x14ac:dyDescent="0.3">
      <c r="A16" s="17" t="s">
        <v>50</v>
      </c>
      <c r="B16" s="18" t="s">
        <v>61</v>
      </c>
      <c r="C16" s="18" t="s">
        <v>16</v>
      </c>
      <c r="D16" s="18" t="s">
        <v>17</v>
      </c>
      <c r="E16" s="19">
        <v>45057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A565-8A01-420C-A950-CC3913853982}">
  <dimension ref="B3:J94"/>
  <sheetViews>
    <sheetView topLeftCell="E52" workbookViewId="0">
      <selection activeCell="D13" sqref="D13"/>
    </sheetView>
  </sheetViews>
  <sheetFormatPr defaultRowHeight="14.4" x14ac:dyDescent="0.3"/>
  <cols>
    <col min="2" max="2" width="16.6640625" customWidth="1"/>
    <col min="3" max="3" width="13.44140625" bestFit="1" customWidth="1"/>
    <col min="4" max="4" width="13.5546875" bestFit="1" customWidth="1"/>
    <col min="5" max="5" width="15" customWidth="1"/>
    <col min="8" max="8" width="20.33203125" customWidth="1"/>
  </cols>
  <sheetData>
    <row r="3" spans="2:3" ht="18" x14ac:dyDescent="0.3">
      <c r="B3" s="37" t="s">
        <v>85</v>
      </c>
      <c r="C3" s="37" t="s">
        <v>86</v>
      </c>
    </row>
    <row r="4" spans="2:3" ht="15.6" x14ac:dyDescent="0.3">
      <c r="B4" s="38" t="s">
        <v>87</v>
      </c>
      <c r="C4" s="38">
        <v>130</v>
      </c>
    </row>
    <row r="5" spans="2:3" ht="15.6" x14ac:dyDescent="0.3">
      <c r="B5" s="38" t="s">
        <v>88</v>
      </c>
      <c r="C5" s="38">
        <v>200</v>
      </c>
    </row>
    <row r="6" spans="2:3" ht="15.6" x14ac:dyDescent="0.3">
      <c r="B6" s="38" t="s">
        <v>89</v>
      </c>
      <c r="C6" s="38">
        <v>180</v>
      </c>
    </row>
    <row r="7" spans="2:3" ht="15.6" x14ac:dyDescent="0.3">
      <c r="B7" s="38" t="s">
        <v>90</v>
      </c>
      <c r="C7" s="38">
        <v>170</v>
      </c>
    </row>
    <row r="8" spans="2:3" ht="15.6" x14ac:dyDescent="0.3">
      <c r="B8" s="38" t="s">
        <v>91</v>
      </c>
      <c r="C8" s="38">
        <v>140</v>
      </c>
    </row>
    <row r="9" spans="2:3" ht="15.6" x14ac:dyDescent="0.3">
      <c r="B9" s="38" t="s">
        <v>92</v>
      </c>
      <c r="C9" s="38">
        <v>180</v>
      </c>
    </row>
    <row r="10" spans="2:3" ht="15.6" x14ac:dyDescent="0.3">
      <c r="B10" s="38" t="s">
        <v>93</v>
      </c>
      <c r="C10" s="38">
        <v>120</v>
      </c>
    </row>
    <row r="11" spans="2:3" ht="15.6" x14ac:dyDescent="0.3">
      <c r="B11" s="38" t="s">
        <v>94</v>
      </c>
      <c r="C11" s="38">
        <v>190</v>
      </c>
    </row>
    <row r="12" spans="2:3" ht="15.6" x14ac:dyDescent="0.3">
      <c r="B12" s="38" t="s">
        <v>95</v>
      </c>
      <c r="C12" s="38">
        <v>100</v>
      </c>
    </row>
    <row r="13" spans="2:3" ht="15.6" x14ac:dyDescent="0.3">
      <c r="B13" s="38" t="s">
        <v>96</v>
      </c>
      <c r="C13" s="38">
        <v>160</v>
      </c>
    </row>
    <row r="14" spans="2:3" ht="15.6" x14ac:dyDescent="0.3">
      <c r="B14" s="38" t="s">
        <v>97</v>
      </c>
      <c r="C14" s="38">
        <v>190</v>
      </c>
    </row>
    <row r="15" spans="2:3" ht="15.6" x14ac:dyDescent="0.3">
      <c r="B15" s="38" t="s">
        <v>98</v>
      </c>
      <c r="C15" s="38">
        <v>100</v>
      </c>
    </row>
    <row r="16" spans="2:3" ht="15.6" x14ac:dyDescent="0.3">
      <c r="B16" s="38" t="s">
        <v>99</v>
      </c>
      <c r="C16" s="38">
        <v>200</v>
      </c>
    </row>
    <row r="17" spans="2:10" ht="15.6" x14ac:dyDescent="0.3">
      <c r="B17" s="38" t="s">
        <v>100</v>
      </c>
      <c r="C17" s="38">
        <v>140</v>
      </c>
    </row>
    <row r="18" spans="2:10" ht="15.6" x14ac:dyDescent="0.3">
      <c r="B18" s="38" t="s">
        <v>101</v>
      </c>
      <c r="C18" s="38">
        <v>190</v>
      </c>
    </row>
    <row r="19" spans="2:10" ht="25.8" x14ac:dyDescent="0.3">
      <c r="B19" s="38" t="s">
        <v>102</v>
      </c>
      <c r="C19" s="38">
        <v>85</v>
      </c>
      <c r="H19" s="80" t="s">
        <v>143</v>
      </c>
      <c r="I19" s="80"/>
      <c r="J19" s="80"/>
    </row>
    <row r="20" spans="2:10" ht="15.6" x14ac:dyDescent="0.3">
      <c r="B20" s="38" t="s">
        <v>103</v>
      </c>
      <c r="C20" s="38">
        <v>200</v>
      </c>
    </row>
    <row r="21" spans="2:10" ht="15.6" x14ac:dyDescent="0.3">
      <c r="B21" s="38" t="s">
        <v>104</v>
      </c>
      <c r="C21" s="38">
        <v>140</v>
      </c>
    </row>
    <row r="22" spans="2:10" ht="15.6" x14ac:dyDescent="0.3">
      <c r="B22" s="38" t="s">
        <v>105</v>
      </c>
      <c r="C22" s="38">
        <v>180</v>
      </c>
    </row>
    <row r="23" spans="2:10" ht="15.6" x14ac:dyDescent="0.3">
      <c r="B23" s="38" t="s">
        <v>106</v>
      </c>
      <c r="C23" s="38">
        <v>190</v>
      </c>
    </row>
    <row r="24" spans="2:10" ht="15.6" x14ac:dyDescent="0.3">
      <c r="B24" s="38" t="s">
        <v>107</v>
      </c>
      <c r="C24" s="38">
        <v>160</v>
      </c>
    </row>
    <row r="25" spans="2:10" ht="15.6" x14ac:dyDescent="0.3">
      <c r="B25" s="38" t="s">
        <v>108</v>
      </c>
      <c r="C25" s="38">
        <v>100</v>
      </c>
    </row>
    <row r="26" spans="2:10" ht="15.6" x14ac:dyDescent="0.3">
      <c r="B26" s="38" t="s">
        <v>109</v>
      </c>
      <c r="C26" s="38">
        <v>140</v>
      </c>
    </row>
    <row r="27" spans="2:10" ht="15.6" x14ac:dyDescent="0.3">
      <c r="B27" s="38" t="s">
        <v>110</v>
      </c>
      <c r="C27" s="38">
        <v>130</v>
      </c>
    </row>
    <row r="28" spans="2:10" ht="15.6" x14ac:dyDescent="0.3">
      <c r="B28" s="38" t="s">
        <v>111</v>
      </c>
      <c r="C28" s="38">
        <v>200</v>
      </c>
    </row>
    <row r="29" spans="2:10" ht="15.6" x14ac:dyDescent="0.3">
      <c r="B29" s="38" t="s">
        <v>112</v>
      </c>
      <c r="C29" s="38">
        <v>150</v>
      </c>
    </row>
    <row r="30" spans="2:10" ht="15.6" x14ac:dyDescent="0.3">
      <c r="B30" s="38" t="s">
        <v>113</v>
      </c>
      <c r="C30" s="38">
        <v>120</v>
      </c>
    </row>
    <row r="31" spans="2:10" ht="15.6" x14ac:dyDescent="0.3">
      <c r="B31" s="38" t="s">
        <v>114</v>
      </c>
      <c r="C31" s="38">
        <v>140</v>
      </c>
    </row>
    <row r="32" spans="2:10" ht="15.6" x14ac:dyDescent="0.3">
      <c r="B32" s="38" t="s">
        <v>115</v>
      </c>
      <c r="C32" s="38">
        <v>80</v>
      </c>
    </row>
    <row r="33" spans="2:5" ht="15.6" x14ac:dyDescent="0.3">
      <c r="B33" s="38" t="s">
        <v>116</v>
      </c>
      <c r="C33" s="38">
        <v>130</v>
      </c>
    </row>
    <row r="34" spans="2:5" ht="15.6" x14ac:dyDescent="0.3">
      <c r="B34" s="38" t="s">
        <v>117</v>
      </c>
      <c r="C34" s="38">
        <v>190</v>
      </c>
    </row>
    <row r="35" spans="2:5" ht="15.6" x14ac:dyDescent="0.3">
      <c r="B35" s="38" t="s">
        <v>118</v>
      </c>
      <c r="C35" s="38">
        <v>190</v>
      </c>
    </row>
    <row r="36" spans="2:5" ht="15.6" x14ac:dyDescent="0.3">
      <c r="B36" s="38" t="s">
        <v>119</v>
      </c>
      <c r="C36" s="38">
        <v>150</v>
      </c>
    </row>
    <row r="47" spans="2:5" ht="15.6" x14ac:dyDescent="0.3">
      <c r="B47" s="39" t="s">
        <v>120</v>
      </c>
      <c r="C47" s="39" t="s">
        <v>121</v>
      </c>
      <c r="D47" s="39" t="s">
        <v>122</v>
      </c>
      <c r="E47" s="39" t="s">
        <v>123</v>
      </c>
    </row>
    <row r="48" spans="2:5" ht="31.2" x14ac:dyDescent="0.3">
      <c r="B48" s="40" t="s">
        <v>124</v>
      </c>
      <c r="C48" s="41">
        <v>5000</v>
      </c>
      <c r="D48" s="42">
        <v>45420</v>
      </c>
      <c r="E48" s="40" t="s">
        <v>125</v>
      </c>
    </row>
    <row r="49" spans="2:5" ht="31.2" x14ac:dyDescent="0.3">
      <c r="B49" s="40" t="s">
        <v>126</v>
      </c>
      <c r="C49" s="41">
        <v>6000</v>
      </c>
      <c r="D49" s="42">
        <v>45297</v>
      </c>
      <c r="E49" s="40" t="s">
        <v>127</v>
      </c>
    </row>
    <row r="50" spans="2:5" ht="15.6" x14ac:dyDescent="0.3">
      <c r="B50" s="40" t="s">
        <v>128</v>
      </c>
      <c r="C50" s="41">
        <v>7000</v>
      </c>
      <c r="D50" s="42">
        <v>45308</v>
      </c>
      <c r="E50" s="40" t="s">
        <v>127</v>
      </c>
    </row>
    <row r="51" spans="2:5" ht="15.6" x14ac:dyDescent="0.3">
      <c r="B51" s="40" t="s">
        <v>129</v>
      </c>
      <c r="C51" s="41">
        <v>8000</v>
      </c>
      <c r="D51" s="42">
        <v>45514</v>
      </c>
      <c r="E51" s="40" t="s">
        <v>127</v>
      </c>
    </row>
    <row r="52" spans="2:5" ht="15.6" x14ac:dyDescent="0.3">
      <c r="B52" s="40" t="s">
        <v>130</v>
      </c>
      <c r="C52" s="41">
        <v>9000</v>
      </c>
      <c r="D52" s="42">
        <v>45297</v>
      </c>
      <c r="E52" s="40" t="s">
        <v>131</v>
      </c>
    </row>
    <row r="53" spans="2:5" ht="31.2" x14ac:dyDescent="0.3">
      <c r="B53" s="40" t="s">
        <v>132</v>
      </c>
      <c r="C53" s="41">
        <v>10000</v>
      </c>
      <c r="D53" s="42">
        <v>45566</v>
      </c>
      <c r="E53" s="40" t="s">
        <v>133</v>
      </c>
    </row>
    <row r="54" spans="2:5" ht="15.6" x14ac:dyDescent="0.3">
      <c r="B54" s="40" t="s">
        <v>128</v>
      </c>
      <c r="C54" s="41">
        <v>10000</v>
      </c>
      <c r="D54" s="42">
        <v>45313</v>
      </c>
      <c r="E54" s="40" t="s">
        <v>125</v>
      </c>
    </row>
    <row r="55" spans="2:5" ht="15.6" x14ac:dyDescent="0.3">
      <c r="B55" s="40" t="s">
        <v>134</v>
      </c>
      <c r="C55" s="41">
        <v>15000</v>
      </c>
      <c r="D55" s="42">
        <v>45294</v>
      </c>
      <c r="E55" s="40" t="s">
        <v>133</v>
      </c>
    </row>
    <row r="56" spans="2:5" ht="15.6" x14ac:dyDescent="0.3">
      <c r="B56" s="40" t="s">
        <v>135</v>
      </c>
      <c r="C56" s="41">
        <v>18000</v>
      </c>
      <c r="D56" s="42">
        <v>45401</v>
      </c>
      <c r="E56" s="40" t="s">
        <v>133</v>
      </c>
    </row>
    <row r="57" spans="2:5" ht="15.6" x14ac:dyDescent="0.3">
      <c r="B57" s="40" t="s">
        <v>136</v>
      </c>
      <c r="C57" s="41">
        <v>25000</v>
      </c>
      <c r="D57" s="42">
        <v>45311</v>
      </c>
      <c r="E57" s="40" t="s">
        <v>131</v>
      </c>
    </row>
    <row r="58" spans="2:5" ht="15.6" x14ac:dyDescent="0.3">
      <c r="B58" s="40" t="s">
        <v>144</v>
      </c>
      <c r="C58" s="53">
        <f>SUM(C48:C57)</f>
        <v>113000</v>
      </c>
      <c r="D58" s="54"/>
      <c r="E58" s="54"/>
    </row>
    <row r="66" spans="2:5" ht="15.6" x14ac:dyDescent="0.3">
      <c r="B66" s="39" t="s">
        <v>120</v>
      </c>
      <c r="C66" s="39" t="s">
        <v>121</v>
      </c>
      <c r="D66" s="43" t="s">
        <v>122</v>
      </c>
      <c r="E66" s="39" t="s">
        <v>123</v>
      </c>
    </row>
    <row r="67" spans="2:5" ht="31.2" x14ac:dyDescent="0.3">
      <c r="B67" s="40" t="s">
        <v>124</v>
      </c>
      <c r="C67" s="41">
        <v>5000</v>
      </c>
      <c r="D67" s="44">
        <v>45816</v>
      </c>
      <c r="E67" s="40" t="s">
        <v>125</v>
      </c>
    </row>
    <row r="68" spans="2:5" ht="31.2" x14ac:dyDescent="0.3">
      <c r="B68" s="40" t="s">
        <v>126</v>
      </c>
      <c r="C68" s="41">
        <v>6000</v>
      </c>
      <c r="D68" s="44">
        <v>45602</v>
      </c>
      <c r="E68" s="40" t="s">
        <v>127</v>
      </c>
    </row>
    <row r="69" spans="2:5" ht="15.6" x14ac:dyDescent="0.3">
      <c r="B69" s="40" t="s">
        <v>128</v>
      </c>
      <c r="C69" s="41">
        <v>7000</v>
      </c>
      <c r="D69" s="44">
        <v>45124</v>
      </c>
      <c r="E69" s="40" t="s">
        <v>127</v>
      </c>
    </row>
    <row r="70" spans="2:5" ht="15.6" x14ac:dyDescent="0.3">
      <c r="B70" s="40" t="s">
        <v>129</v>
      </c>
      <c r="C70" s="41">
        <v>8000</v>
      </c>
      <c r="D70" s="44">
        <v>45301</v>
      </c>
      <c r="E70" s="40" t="s">
        <v>127</v>
      </c>
    </row>
    <row r="71" spans="2:5" ht="15.6" x14ac:dyDescent="0.3">
      <c r="B71" s="40" t="s">
        <v>130</v>
      </c>
      <c r="C71" s="41">
        <v>9000</v>
      </c>
      <c r="D71" s="44">
        <v>45205</v>
      </c>
      <c r="E71" s="40" t="s">
        <v>131</v>
      </c>
    </row>
    <row r="72" spans="2:5" ht="31.2" x14ac:dyDescent="0.3">
      <c r="B72" s="40" t="s">
        <v>132</v>
      </c>
      <c r="C72" s="41">
        <v>16000</v>
      </c>
      <c r="D72" s="44">
        <v>45292</v>
      </c>
      <c r="E72" s="40" t="s">
        <v>133</v>
      </c>
    </row>
    <row r="73" spans="2:5" ht="15.6" x14ac:dyDescent="0.3">
      <c r="B73" s="40" t="s">
        <v>128</v>
      </c>
      <c r="C73" s="41">
        <v>10000</v>
      </c>
      <c r="D73" s="44">
        <v>45679</v>
      </c>
      <c r="E73" s="40" t="s">
        <v>125</v>
      </c>
    </row>
    <row r="74" spans="2:5" ht="15.6" x14ac:dyDescent="0.3">
      <c r="B74" s="40" t="s">
        <v>134</v>
      </c>
      <c r="C74" s="41">
        <v>15000</v>
      </c>
      <c r="D74" s="44">
        <v>45294</v>
      </c>
      <c r="E74" s="40" t="s">
        <v>133</v>
      </c>
    </row>
    <row r="75" spans="2:5" ht="15.6" x14ac:dyDescent="0.3">
      <c r="B75" s="40" t="s">
        <v>135</v>
      </c>
      <c r="C75" s="41">
        <v>18000</v>
      </c>
      <c r="D75" s="44">
        <v>44945</v>
      </c>
      <c r="E75" s="40" t="s">
        <v>133</v>
      </c>
    </row>
    <row r="76" spans="2:5" ht="15.6" x14ac:dyDescent="0.3">
      <c r="B76" s="40" t="s">
        <v>136</v>
      </c>
      <c r="C76" s="41">
        <v>25000</v>
      </c>
      <c r="D76" s="44">
        <v>45432</v>
      </c>
      <c r="E76" s="40" t="s">
        <v>131</v>
      </c>
    </row>
    <row r="77" spans="2:5" ht="15.6" x14ac:dyDescent="0.3">
      <c r="B77" s="45" t="s">
        <v>137</v>
      </c>
      <c r="C77" s="46">
        <f>SUM(C67:C76)</f>
        <v>119000</v>
      </c>
      <c r="D77" s="45" t="s">
        <v>138</v>
      </c>
      <c r="E77" s="47" t="s">
        <v>138</v>
      </c>
    </row>
    <row r="89" spans="2:8" ht="15.6" x14ac:dyDescent="0.3">
      <c r="B89" s="48" t="s">
        <v>85</v>
      </c>
      <c r="C89" s="49" t="s">
        <v>139</v>
      </c>
      <c r="D89" s="50" t="s">
        <v>140</v>
      </c>
      <c r="E89" s="48" t="s">
        <v>141</v>
      </c>
      <c r="F89" s="78" t="s">
        <v>142</v>
      </c>
      <c r="G89" s="78"/>
      <c r="H89" s="78"/>
    </row>
    <row r="90" spans="2:8" ht="15.6" x14ac:dyDescent="0.3">
      <c r="B90" s="40" t="s">
        <v>87</v>
      </c>
      <c r="C90" s="38">
        <v>30</v>
      </c>
      <c r="D90" s="51">
        <v>70</v>
      </c>
      <c r="E90" s="52">
        <v>40</v>
      </c>
      <c r="F90" s="79"/>
      <c r="G90" s="79"/>
      <c r="H90" s="79"/>
    </row>
    <row r="91" spans="2:8" ht="15.6" x14ac:dyDescent="0.3">
      <c r="B91" s="40" t="s">
        <v>89</v>
      </c>
      <c r="C91" s="38">
        <v>10</v>
      </c>
      <c r="D91" s="51">
        <v>50</v>
      </c>
      <c r="E91" s="52">
        <v>80</v>
      </c>
      <c r="F91" s="79"/>
      <c r="G91" s="79"/>
      <c r="H91" s="79"/>
    </row>
    <row r="92" spans="2:8" ht="15.6" x14ac:dyDescent="0.3">
      <c r="B92" s="40" t="s">
        <v>91</v>
      </c>
      <c r="C92" s="38">
        <v>90</v>
      </c>
      <c r="D92" s="51">
        <v>50</v>
      </c>
      <c r="E92" s="52">
        <v>100</v>
      </c>
      <c r="F92" s="79"/>
      <c r="G92" s="79"/>
      <c r="H92" s="79"/>
    </row>
    <row r="93" spans="2:8" ht="15.6" x14ac:dyDescent="0.3">
      <c r="B93" s="40" t="s">
        <v>93</v>
      </c>
      <c r="C93" s="38">
        <v>40</v>
      </c>
      <c r="D93" s="51">
        <v>50</v>
      </c>
      <c r="E93" s="52">
        <v>90</v>
      </c>
      <c r="F93" s="79"/>
      <c r="G93" s="79"/>
      <c r="H93" s="79"/>
    </row>
    <row r="94" spans="2:8" ht="15.6" x14ac:dyDescent="0.3">
      <c r="B94" s="40" t="s">
        <v>95</v>
      </c>
      <c r="C94" s="38">
        <v>80</v>
      </c>
      <c r="D94" s="51">
        <v>50</v>
      </c>
      <c r="E94" s="52">
        <v>20</v>
      </c>
      <c r="F94" s="79"/>
      <c r="G94" s="79"/>
      <c r="H94" s="79"/>
    </row>
  </sheetData>
  <mergeCells count="2">
    <mergeCell ref="F89:H94"/>
    <mergeCell ref="H19: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62F0-9077-4964-8808-C324B665026E}">
  <dimension ref="B2:E22"/>
  <sheetViews>
    <sheetView topLeftCell="E1" workbookViewId="0">
      <selection activeCell="F21" sqref="F21"/>
    </sheetView>
  </sheetViews>
  <sheetFormatPr defaultRowHeight="14.4" x14ac:dyDescent="0.3"/>
  <cols>
    <col min="2" max="2" width="26.6640625" bestFit="1" customWidth="1"/>
    <col min="3" max="3" width="11.88671875" bestFit="1" customWidth="1"/>
    <col min="4" max="4" width="15.77734375" bestFit="1" customWidth="1"/>
    <col min="5" max="5" width="13.33203125" customWidth="1"/>
  </cols>
  <sheetData>
    <row r="2" spans="2:5" ht="18" x14ac:dyDescent="0.3">
      <c r="B2" s="55" t="s">
        <v>120</v>
      </c>
      <c r="C2" s="56" t="s">
        <v>121</v>
      </c>
      <c r="D2" s="56" t="s">
        <v>122</v>
      </c>
      <c r="E2" s="57" t="s">
        <v>123</v>
      </c>
    </row>
    <row r="3" spans="2:5" ht="18" x14ac:dyDescent="0.3">
      <c r="B3" s="58" t="s">
        <v>124</v>
      </c>
      <c r="C3" s="59">
        <v>5000</v>
      </c>
      <c r="D3" s="60">
        <v>45359</v>
      </c>
      <c r="E3" s="61" t="s">
        <v>125</v>
      </c>
    </row>
    <row r="4" spans="2:5" ht="18" x14ac:dyDescent="0.3">
      <c r="B4" s="58" t="s">
        <v>126</v>
      </c>
      <c r="C4" s="59">
        <v>6000</v>
      </c>
      <c r="D4" s="60">
        <v>45297</v>
      </c>
      <c r="E4" s="61" t="s">
        <v>127</v>
      </c>
    </row>
    <row r="5" spans="2:5" ht="18" x14ac:dyDescent="0.3">
      <c r="B5" s="58" t="s">
        <v>128</v>
      </c>
      <c r="C5" s="59">
        <v>7000</v>
      </c>
      <c r="D5" s="60">
        <v>45308</v>
      </c>
      <c r="E5" s="61" t="s">
        <v>127</v>
      </c>
    </row>
    <row r="6" spans="2:5" ht="18" x14ac:dyDescent="0.3">
      <c r="B6" s="58" t="s">
        <v>129</v>
      </c>
      <c r="C6" s="59">
        <v>8000</v>
      </c>
      <c r="D6" s="60">
        <v>45392</v>
      </c>
      <c r="E6" s="61" t="s">
        <v>127</v>
      </c>
    </row>
    <row r="7" spans="2:5" ht="18" x14ac:dyDescent="0.3">
      <c r="B7" s="58" t="s">
        <v>130</v>
      </c>
      <c r="C7" s="59">
        <v>9000</v>
      </c>
      <c r="D7" s="60">
        <v>45297</v>
      </c>
      <c r="E7" s="61" t="s">
        <v>131</v>
      </c>
    </row>
    <row r="8" spans="2:5" ht="18" x14ac:dyDescent="0.3">
      <c r="B8" s="58" t="s">
        <v>132</v>
      </c>
      <c r="C8" s="59">
        <v>10000</v>
      </c>
      <c r="D8" s="60">
        <v>45292</v>
      </c>
      <c r="E8" s="61" t="s">
        <v>133</v>
      </c>
    </row>
    <row r="9" spans="2:5" ht="18" x14ac:dyDescent="0.3">
      <c r="B9" s="58" t="s">
        <v>128</v>
      </c>
      <c r="C9" s="59">
        <v>10000</v>
      </c>
      <c r="D9" s="60">
        <v>45313</v>
      </c>
      <c r="E9" s="61" t="s">
        <v>125</v>
      </c>
    </row>
    <row r="10" spans="2:5" ht="18" x14ac:dyDescent="0.3">
      <c r="B10" s="58" t="s">
        <v>134</v>
      </c>
      <c r="C10" s="59">
        <v>15000</v>
      </c>
      <c r="D10" s="60">
        <v>45415</v>
      </c>
      <c r="E10" s="61" t="s">
        <v>133</v>
      </c>
    </row>
    <row r="11" spans="2:5" ht="18" x14ac:dyDescent="0.3">
      <c r="B11" s="58" t="s">
        <v>135</v>
      </c>
      <c r="C11" s="59">
        <v>18000</v>
      </c>
      <c r="D11" s="60">
        <v>45310</v>
      </c>
      <c r="E11" s="61" t="s">
        <v>133</v>
      </c>
    </row>
    <row r="12" spans="2:5" ht="18" x14ac:dyDescent="0.3">
      <c r="B12" s="58" t="s">
        <v>135</v>
      </c>
      <c r="C12" s="59">
        <v>25000</v>
      </c>
      <c r="D12" s="60">
        <v>45493</v>
      </c>
      <c r="E12" s="61" t="s">
        <v>131</v>
      </c>
    </row>
    <row r="13" spans="2:5" ht="18" x14ac:dyDescent="0.3">
      <c r="B13" s="58" t="s">
        <v>145</v>
      </c>
      <c r="C13" s="59">
        <v>25000</v>
      </c>
      <c r="D13" s="60">
        <v>45301</v>
      </c>
      <c r="E13" s="61" t="s">
        <v>133</v>
      </c>
    </row>
    <row r="14" spans="2:5" ht="18" x14ac:dyDescent="0.3">
      <c r="B14" s="58" t="s">
        <v>146</v>
      </c>
      <c r="C14" s="59">
        <v>30000</v>
      </c>
      <c r="D14" s="60">
        <v>45519</v>
      </c>
      <c r="E14" s="61" t="s">
        <v>125</v>
      </c>
    </row>
    <row r="15" spans="2:5" ht="18" x14ac:dyDescent="0.3">
      <c r="B15" s="58" t="s">
        <v>147</v>
      </c>
      <c r="C15" s="59">
        <v>30000</v>
      </c>
      <c r="D15" s="60">
        <v>45304</v>
      </c>
      <c r="E15" s="61" t="s">
        <v>125</v>
      </c>
    </row>
    <row r="16" spans="2:5" ht="18" x14ac:dyDescent="0.3">
      <c r="B16" s="58" t="s">
        <v>134</v>
      </c>
      <c r="C16" s="59">
        <v>35000</v>
      </c>
      <c r="D16" s="60">
        <v>45548</v>
      </c>
      <c r="E16" s="61" t="s">
        <v>125</v>
      </c>
    </row>
    <row r="17" spans="2:5" ht="18" x14ac:dyDescent="0.3">
      <c r="B17" s="58" t="s">
        <v>148</v>
      </c>
      <c r="C17" s="59">
        <v>36000</v>
      </c>
      <c r="D17" s="60">
        <v>45302</v>
      </c>
      <c r="E17" s="61" t="s">
        <v>131</v>
      </c>
    </row>
    <row r="18" spans="2:5" ht="18" x14ac:dyDescent="0.3">
      <c r="B18" s="58" t="s">
        <v>149</v>
      </c>
      <c r="C18" s="59">
        <v>40000</v>
      </c>
      <c r="D18" s="60">
        <v>45455</v>
      </c>
      <c r="E18" s="61" t="s">
        <v>131</v>
      </c>
    </row>
    <row r="19" spans="2:5" ht="18" x14ac:dyDescent="0.3">
      <c r="B19" s="58" t="s">
        <v>124</v>
      </c>
      <c r="C19" s="59">
        <v>45000</v>
      </c>
      <c r="D19" s="60">
        <v>45298</v>
      </c>
      <c r="E19" s="61" t="s">
        <v>127</v>
      </c>
    </row>
    <row r="20" spans="2:5" ht="18" x14ac:dyDescent="0.3">
      <c r="B20" s="58" t="s">
        <v>130</v>
      </c>
      <c r="C20" s="59">
        <v>50000</v>
      </c>
      <c r="D20" s="60">
        <v>45313</v>
      </c>
      <c r="E20" s="61" t="s">
        <v>133</v>
      </c>
    </row>
    <row r="21" spans="2:5" ht="18" x14ac:dyDescent="0.3">
      <c r="B21" s="58" t="s">
        <v>135</v>
      </c>
      <c r="C21" s="59">
        <v>70000</v>
      </c>
      <c r="D21" s="62">
        <v>45600</v>
      </c>
      <c r="E21" s="63" t="s">
        <v>131</v>
      </c>
    </row>
    <row r="22" spans="2:5" ht="18" x14ac:dyDescent="0.3">
      <c r="B22" s="64" t="s">
        <v>145</v>
      </c>
      <c r="C22" s="65">
        <v>80000</v>
      </c>
      <c r="D22" s="66">
        <v>45296</v>
      </c>
      <c r="E22" s="67" t="s">
        <v>131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1328-4B19-4E44-8F59-058D3AA28B06}">
  <dimension ref="A1:D21"/>
  <sheetViews>
    <sheetView workbookViewId="0">
      <selection sqref="A1:D21"/>
    </sheetView>
  </sheetViews>
  <sheetFormatPr defaultRowHeight="14.4" x14ac:dyDescent="0.3"/>
  <cols>
    <col min="1" max="1" width="26.6640625" bestFit="1" customWidth="1"/>
    <col min="2" max="2" width="11.88671875" bestFit="1" customWidth="1"/>
    <col min="3" max="3" width="15.77734375" bestFit="1" customWidth="1"/>
    <col min="4" max="4" width="13.33203125" customWidth="1"/>
  </cols>
  <sheetData>
    <row r="1" spans="1:4" ht="18" x14ac:dyDescent="0.3">
      <c r="A1" s="55" t="s">
        <v>120</v>
      </c>
      <c r="B1" s="56" t="s">
        <v>121</v>
      </c>
      <c r="C1" s="56" t="s">
        <v>122</v>
      </c>
      <c r="D1" s="57" t="s">
        <v>123</v>
      </c>
    </row>
    <row r="2" spans="1:4" ht="18" x14ac:dyDescent="0.3">
      <c r="A2" s="58" t="s">
        <v>124</v>
      </c>
      <c r="B2" s="59">
        <v>5000</v>
      </c>
      <c r="C2" s="60">
        <v>45359</v>
      </c>
      <c r="D2" s="61" t="s">
        <v>125</v>
      </c>
    </row>
    <row r="3" spans="1:4" ht="18" x14ac:dyDescent="0.3">
      <c r="A3" s="58" t="s">
        <v>126</v>
      </c>
      <c r="B3" s="59">
        <v>6000</v>
      </c>
      <c r="C3" s="60">
        <v>45297</v>
      </c>
      <c r="D3" s="61" t="s">
        <v>127</v>
      </c>
    </row>
    <row r="4" spans="1:4" ht="18" x14ac:dyDescent="0.3">
      <c r="A4" s="58" t="s">
        <v>128</v>
      </c>
      <c r="B4" s="59">
        <v>7000</v>
      </c>
      <c r="C4" s="60">
        <v>45308</v>
      </c>
      <c r="D4" s="61" t="s">
        <v>127</v>
      </c>
    </row>
    <row r="5" spans="1:4" ht="18" x14ac:dyDescent="0.3">
      <c r="A5" s="58" t="s">
        <v>129</v>
      </c>
      <c r="B5" s="59">
        <v>8000</v>
      </c>
      <c r="C5" s="60">
        <v>45392</v>
      </c>
      <c r="D5" s="61" t="s">
        <v>127</v>
      </c>
    </row>
    <row r="6" spans="1:4" ht="18" x14ac:dyDescent="0.3">
      <c r="A6" s="58" t="s">
        <v>130</v>
      </c>
      <c r="B6" s="59">
        <v>9000</v>
      </c>
      <c r="C6" s="60">
        <v>45297</v>
      </c>
      <c r="D6" s="61" t="s">
        <v>131</v>
      </c>
    </row>
    <row r="7" spans="1:4" ht="18" x14ac:dyDescent="0.3">
      <c r="A7" s="58" t="s">
        <v>132</v>
      </c>
      <c r="B7" s="59">
        <v>10000</v>
      </c>
      <c r="C7" s="60">
        <v>45292</v>
      </c>
      <c r="D7" s="61" t="s">
        <v>133</v>
      </c>
    </row>
    <row r="8" spans="1:4" ht="18" x14ac:dyDescent="0.3">
      <c r="A8" s="58" t="s">
        <v>128</v>
      </c>
      <c r="B8" s="59">
        <v>10000</v>
      </c>
      <c r="C8" s="60">
        <v>45313</v>
      </c>
      <c r="D8" s="61" t="s">
        <v>125</v>
      </c>
    </row>
    <row r="9" spans="1:4" ht="18" x14ac:dyDescent="0.3">
      <c r="A9" s="58" t="s">
        <v>134</v>
      </c>
      <c r="B9" s="59">
        <v>15000</v>
      </c>
      <c r="C9" s="60">
        <v>45415</v>
      </c>
      <c r="D9" s="61" t="s">
        <v>133</v>
      </c>
    </row>
    <row r="10" spans="1:4" ht="18" x14ac:dyDescent="0.3">
      <c r="A10" s="58" t="s">
        <v>135</v>
      </c>
      <c r="B10" s="59">
        <v>18000</v>
      </c>
      <c r="C10" s="60">
        <v>45310</v>
      </c>
      <c r="D10" s="61" t="s">
        <v>133</v>
      </c>
    </row>
    <row r="11" spans="1:4" ht="18" x14ac:dyDescent="0.3">
      <c r="A11" s="58" t="s">
        <v>135</v>
      </c>
      <c r="B11" s="59">
        <v>25000</v>
      </c>
      <c r="C11" s="60">
        <v>45493</v>
      </c>
      <c r="D11" s="61" t="s">
        <v>131</v>
      </c>
    </row>
    <row r="12" spans="1:4" ht="18" x14ac:dyDescent="0.3">
      <c r="A12" s="58" t="s">
        <v>145</v>
      </c>
      <c r="B12" s="59">
        <v>25000</v>
      </c>
      <c r="C12" s="60">
        <v>45301</v>
      </c>
      <c r="D12" s="61" t="s">
        <v>133</v>
      </c>
    </row>
    <row r="13" spans="1:4" ht="18" x14ac:dyDescent="0.3">
      <c r="A13" s="58" t="s">
        <v>146</v>
      </c>
      <c r="B13" s="59">
        <v>30000</v>
      </c>
      <c r="C13" s="60">
        <v>45519</v>
      </c>
      <c r="D13" s="61" t="s">
        <v>125</v>
      </c>
    </row>
    <row r="14" spans="1:4" ht="18" x14ac:dyDescent="0.3">
      <c r="A14" s="58" t="s">
        <v>147</v>
      </c>
      <c r="B14" s="59">
        <v>30000</v>
      </c>
      <c r="C14" s="60">
        <v>45304</v>
      </c>
      <c r="D14" s="61" t="s">
        <v>125</v>
      </c>
    </row>
    <row r="15" spans="1:4" ht="18" x14ac:dyDescent="0.3">
      <c r="A15" s="58" t="s">
        <v>134</v>
      </c>
      <c r="B15" s="59">
        <v>35000</v>
      </c>
      <c r="C15" s="60">
        <v>45548</v>
      </c>
      <c r="D15" s="61" t="s">
        <v>125</v>
      </c>
    </row>
    <row r="16" spans="1:4" ht="18" x14ac:dyDescent="0.3">
      <c r="A16" s="58" t="s">
        <v>148</v>
      </c>
      <c r="B16" s="59">
        <v>36000</v>
      </c>
      <c r="C16" s="60">
        <v>45302</v>
      </c>
      <c r="D16" s="61" t="s">
        <v>131</v>
      </c>
    </row>
    <row r="17" spans="1:4" ht="18" x14ac:dyDescent="0.3">
      <c r="A17" s="58" t="s">
        <v>149</v>
      </c>
      <c r="B17" s="59">
        <v>40000</v>
      </c>
      <c r="C17" s="60">
        <v>45455</v>
      </c>
      <c r="D17" s="61" t="s">
        <v>131</v>
      </c>
    </row>
    <row r="18" spans="1:4" ht="18" x14ac:dyDescent="0.3">
      <c r="A18" s="58" t="s">
        <v>124</v>
      </c>
      <c r="B18" s="59">
        <v>45000</v>
      </c>
      <c r="C18" s="60">
        <v>45298</v>
      </c>
      <c r="D18" s="61" t="s">
        <v>127</v>
      </c>
    </row>
    <row r="19" spans="1:4" ht="18" x14ac:dyDescent="0.3">
      <c r="A19" s="58" t="s">
        <v>130</v>
      </c>
      <c r="B19" s="59">
        <v>50000</v>
      </c>
      <c r="C19" s="60">
        <v>45313</v>
      </c>
      <c r="D19" s="61" t="s">
        <v>133</v>
      </c>
    </row>
    <row r="20" spans="1:4" ht="18" x14ac:dyDescent="0.3">
      <c r="A20" s="58" t="s">
        <v>135</v>
      </c>
      <c r="B20" s="59">
        <v>70000</v>
      </c>
      <c r="C20" s="62">
        <v>45600</v>
      </c>
      <c r="D20" s="63" t="s">
        <v>131</v>
      </c>
    </row>
    <row r="21" spans="1:4" ht="18" x14ac:dyDescent="0.3">
      <c r="A21" s="64" t="s">
        <v>145</v>
      </c>
      <c r="B21" s="65">
        <v>80000</v>
      </c>
      <c r="C21" s="66">
        <v>45296</v>
      </c>
      <c r="D21" s="67" t="s">
        <v>131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6FCA-0707-4052-A997-FB28E4075EFB}">
  <dimension ref="A3:B31"/>
  <sheetViews>
    <sheetView workbookViewId="0">
      <selection activeCell="B3" sqref="B3"/>
    </sheetView>
  </sheetViews>
  <sheetFormatPr defaultRowHeight="14.4" x14ac:dyDescent="0.3"/>
  <cols>
    <col min="1" max="1" width="20.77734375" bestFit="1" customWidth="1"/>
    <col min="2" max="2" width="12.33203125" bestFit="1" customWidth="1"/>
    <col min="3" max="3" width="11.88671875" bestFit="1" customWidth="1"/>
    <col min="4" max="13" width="17" bestFit="1" customWidth="1"/>
    <col min="14" max="14" width="10.77734375" bestFit="1" customWidth="1"/>
  </cols>
  <sheetData>
    <row r="3" spans="1:2" x14ac:dyDescent="0.3">
      <c r="A3" s="72" t="s">
        <v>123</v>
      </c>
      <c r="B3" s="73" t="s">
        <v>151</v>
      </c>
    </row>
    <row r="4" spans="1:2" x14ac:dyDescent="0.3">
      <c r="A4" s="68" t="s">
        <v>127</v>
      </c>
      <c r="B4" s="69">
        <v>66000</v>
      </c>
    </row>
    <row r="5" spans="1:2" x14ac:dyDescent="0.3">
      <c r="A5" s="70" t="s">
        <v>124</v>
      </c>
      <c r="B5" s="69">
        <v>45000</v>
      </c>
    </row>
    <row r="6" spans="1:2" x14ac:dyDescent="0.3">
      <c r="A6" s="70" t="s">
        <v>128</v>
      </c>
      <c r="B6" s="69">
        <v>7000</v>
      </c>
    </row>
    <row r="7" spans="1:2" x14ac:dyDescent="0.3">
      <c r="A7" s="70" t="s">
        <v>129</v>
      </c>
      <c r="B7" s="69">
        <v>8000</v>
      </c>
    </row>
    <row r="8" spans="1:2" x14ac:dyDescent="0.3">
      <c r="A8" s="70" t="s">
        <v>126</v>
      </c>
      <c r="B8" s="69">
        <v>6000</v>
      </c>
    </row>
    <row r="9" spans="1:2" x14ac:dyDescent="0.3">
      <c r="A9" s="68"/>
      <c r="B9" s="69"/>
    </row>
    <row r="10" spans="1:2" x14ac:dyDescent="0.3">
      <c r="A10" s="68" t="s">
        <v>133</v>
      </c>
      <c r="B10" s="69">
        <v>118000</v>
      </c>
    </row>
    <row r="11" spans="1:2" x14ac:dyDescent="0.3">
      <c r="A11" s="70" t="s">
        <v>132</v>
      </c>
      <c r="B11" s="69">
        <v>10000</v>
      </c>
    </row>
    <row r="12" spans="1:2" x14ac:dyDescent="0.3">
      <c r="A12" s="70" t="s">
        <v>134</v>
      </c>
      <c r="B12" s="69">
        <v>15000</v>
      </c>
    </row>
    <row r="13" spans="1:2" x14ac:dyDescent="0.3">
      <c r="A13" s="70" t="s">
        <v>135</v>
      </c>
      <c r="B13" s="69">
        <v>18000</v>
      </c>
    </row>
    <row r="14" spans="1:2" x14ac:dyDescent="0.3">
      <c r="A14" s="70" t="s">
        <v>130</v>
      </c>
      <c r="B14" s="69">
        <v>50000</v>
      </c>
    </row>
    <row r="15" spans="1:2" x14ac:dyDescent="0.3">
      <c r="A15" s="70" t="s">
        <v>145</v>
      </c>
      <c r="B15" s="69">
        <v>25000</v>
      </c>
    </row>
    <row r="16" spans="1:2" x14ac:dyDescent="0.3">
      <c r="A16" s="68"/>
      <c r="B16" s="69"/>
    </row>
    <row r="17" spans="1:2" x14ac:dyDescent="0.3">
      <c r="A17" s="68" t="s">
        <v>125</v>
      </c>
      <c r="B17" s="69">
        <v>110000</v>
      </c>
    </row>
    <row r="18" spans="1:2" x14ac:dyDescent="0.3">
      <c r="A18" s="70" t="s">
        <v>146</v>
      </c>
      <c r="B18" s="69">
        <v>30000</v>
      </c>
    </row>
    <row r="19" spans="1:2" x14ac:dyDescent="0.3">
      <c r="A19" s="70" t="s">
        <v>124</v>
      </c>
      <c r="B19" s="69">
        <v>5000</v>
      </c>
    </row>
    <row r="20" spans="1:2" x14ac:dyDescent="0.3">
      <c r="A20" s="70" t="s">
        <v>128</v>
      </c>
      <c r="B20" s="69">
        <v>10000</v>
      </c>
    </row>
    <row r="21" spans="1:2" x14ac:dyDescent="0.3">
      <c r="A21" s="70" t="s">
        <v>134</v>
      </c>
      <c r="B21" s="69">
        <v>35000</v>
      </c>
    </row>
    <row r="22" spans="1:2" x14ac:dyDescent="0.3">
      <c r="A22" s="70" t="s">
        <v>147</v>
      </c>
      <c r="B22" s="69">
        <v>30000</v>
      </c>
    </row>
    <row r="23" spans="1:2" x14ac:dyDescent="0.3">
      <c r="A23" s="68"/>
      <c r="B23" s="69"/>
    </row>
    <row r="24" spans="1:2" x14ac:dyDescent="0.3">
      <c r="A24" s="68" t="s">
        <v>131</v>
      </c>
      <c r="B24" s="69">
        <v>260000</v>
      </c>
    </row>
    <row r="25" spans="1:2" x14ac:dyDescent="0.3">
      <c r="A25" s="70" t="s">
        <v>148</v>
      </c>
      <c r="B25" s="69">
        <v>36000</v>
      </c>
    </row>
    <row r="26" spans="1:2" x14ac:dyDescent="0.3">
      <c r="A26" s="70" t="s">
        <v>149</v>
      </c>
      <c r="B26" s="69">
        <v>40000</v>
      </c>
    </row>
    <row r="27" spans="1:2" x14ac:dyDescent="0.3">
      <c r="A27" s="70" t="s">
        <v>135</v>
      </c>
      <c r="B27" s="69">
        <v>95000</v>
      </c>
    </row>
    <row r="28" spans="1:2" x14ac:dyDescent="0.3">
      <c r="A28" s="70" t="s">
        <v>130</v>
      </c>
      <c r="B28" s="69">
        <v>9000</v>
      </c>
    </row>
    <row r="29" spans="1:2" x14ac:dyDescent="0.3">
      <c r="A29" s="70" t="s">
        <v>145</v>
      </c>
      <c r="B29" s="69">
        <v>80000</v>
      </c>
    </row>
    <row r="30" spans="1:2" x14ac:dyDescent="0.3">
      <c r="A30" s="68"/>
      <c r="B30" s="69"/>
    </row>
    <row r="31" spans="1:2" x14ac:dyDescent="0.3">
      <c r="A31" s="68" t="s">
        <v>150</v>
      </c>
      <c r="B31" s="69">
        <v>554000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1F4B-1E7D-42E1-9F9F-21919CF0D0E9}">
  <dimension ref="A3:K9"/>
  <sheetViews>
    <sheetView workbookViewId="0">
      <selection activeCell="N12" sqref="N12"/>
    </sheetView>
  </sheetViews>
  <sheetFormatPr defaultRowHeight="14.4" x14ac:dyDescent="0.3"/>
  <cols>
    <col min="1" max="1" width="12.33203125" bestFit="1" customWidth="1"/>
    <col min="2" max="2" width="15.5546875" bestFit="1" customWidth="1"/>
    <col min="3" max="4" width="7" bestFit="1" customWidth="1"/>
    <col min="5" max="10" width="8" bestFit="1" customWidth="1"/>
    <col min="11" max="11" width="10.77734375" bestFit="1" customWidth="1"/>
    <col min="12" max="19" width="10.33203125" bestFit="1" customWidth="1"/>
    <col min="20" max="20" width="10.77734375" bestFit="1" customWidth="1"/>
  </cols>
  <sheetData>
    <row r="3" spans="1:11" x14ac:dyDescent="0.3">
      <c r="A3" s="71" t="s">
        <v>151</v>
      </c>
      <c r="B3" s="71" t="s">
        <v>161</v>
      </c>
      <c r="C3" s="54"/>
      <c r="D3" s="54"/>
      <c r="E3" s="54"/>
      <c r="F3" s="54"/>
      <c r="G3" s="54"/>
      <c r="H3" s="54"/>
      <c r="I3" s="54"/>
      <c r="J3" s="54"/>
      <c r="K3" s="54"/>
    </row>
    <row r="4" spans="1:11" x14ac:dyDescent="0.3">
      <c r="A4" s="72" t="s">
        <v>123</v>
      </c>
      <c r="B4" s="54" t="s">
        <v>152</v>
      </c>
      <c r="C4" s="54" t="s">
        <v>154</v>
      </c>
      <c r="D4" s="54" t="s">
        <v>158</v>
      </c>
      <c r="E4" s="54" t="s">
        <v>156</v>
      </c>
      <c r="F4" s="54" t="s">
        <v>155</v>
      </c>
      <c r="G4" s="54" t="s">
        <v>159</v>
      </c>
      <c r="H4" s="54" t="s">
        <v>153</v>
      </c>
      <c r="I4" s="54" t="s">
        <v>157</v>
      </c>
      <c r="J4" s="54" t="s">
        <v>160</v>
      </c>
      <c r="K4" s="54" t="s">
        <v>150</v>
      </c>
    </row>
    <row r="5" spans="1:11" x14ac:dyDescent="0.3">
      <c r="A5" s="68" t="s">
        <v>127</v>
      </c>
      <c r="B5" s="69">
        <v>58000</v>
      </c>
      <c r="C5" s="69"/>
      <c r="D5" s="69">
        <v>8000</v>
      </c>
      <c r="E5" s="69"/>
      <c r="F5" s="69"/>
      <c r="G5" s="69"/>
      <c r="H5" s="69"/>
      <c r="I5" s="69"/>
      <c r="J5" s="69"/>
      <c r="K5" s="69">
        <v>66000</v>
      </c>
    </row>
    <row r="6" spans="1:11" x14ac:dyDescent="0.3">
      <c r="A6" s="68" t="s">
        <v>133</v>
      </c>
      <c r="B6" s="69">
        <v>103000</v>
      </c>
      <c r="C6" s="69"/>
      <c r="D6" s="69"/>
      <c r="E6" s="69">
        <v>15000</v>
      </c>
      <c r="F6" s="69"/>
      <c r="G6" s="69"/>
      <c r="H6" s="69"/>
      <c r="I6" s="69"/>
      <c r="J6" s="69"/>
      <c r="K6" s="69">
        <v>118000</v>
      </c>
    </row>
    <row r="7" spans="1:11" x14ac:dyDescent="0.3">
      <c r="A7" s="68" t="s">
        <v>125</v>
      </c>
      <c r="B7" s="69">
        <v>40000</v>
      </c>
      <c r="C7" s="69">
        <v>5000</v>
      </c>
      <c r="D7" s="69"/>
      <c r="E7" s="69"/>
      <c r="F7" s="69"/>
      <c r="G7" s="69"/>
      <c r="H7" s="69">
        <v>30000</v>
      </c>
      <c r="I7" s="69">
        <v>35000</v>
      </c>
      <c r="J7" s="69"/>
      <c r="K7" s="69">
        <v>110000</v>
      </c>
    </row>
    <row r="8" spans="1:11" x14ac:dyDescent="0.3">
      <c r="A8" s="68" t="s">
        <v>131</v>
      </c>
      <c r="B8" s="69">
        <v>125000</v>
      </c>
      <c r="C8" s="69"/>
      <c r="D8" s="69"/>
      <c r="E8" s="69"/>
      <c r="F8" s="69">
        <v>40000</v>
      </c>
      <c r="G8" s="69">
        <v>25000</v>
      </c>
      <c r="H8" s="69"/>
      <c r="I8" s="69"/>
      <c r="J8" s="69">
        <v>70000</v>
      </c>
      <c r="K8" s="69">
        <v>260000</v>
      </c>
    </row>
    <row r="9" spans="1:11" x14ac:dyDescent="0.3">
      <c r="A9" s="68" t="s">
        <v>150</v>
      </c>
      <c r="B9" s="69">
        <v>326000</v>
      </c>
      <c r="C9" s="69">
        <v>5000</v>
      </c>
      <c r="D9" s="69">
        <v>8000</v>
      </c>
      <c r="E9" s="69">
        <v>15000</v>
      </c>
      <c r="F9" s="69">
        <v>40000</v>
      </c>
      <c r="G9" s="69">
        <v>25000</v>
      </c>
      <c r="H9" s="69">
        <v>30000</v>
      </c>
      <c r="I9" s="69">
        <v>35000</v>
      </c>
      <c r="J9" s="69">
        <v>70000</v>
      </c>
      <c r="K9" s="69">
        <v>554000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27E0-E809-47E1-9B16-10060AC975D1}">
  <dimension ref="B1:R28"/>
  <sheetViews>
    <sheetView topLeftCell="A19" workbookViewId="0">
      <selection activeCell="B32" sqref="B32"/>
    </sheetView>
  </sheetViews>
  <sheetFormatPr defaultRowHeight="14.4" x14ac:dyDescent="0.3"/>
  <cols>
    <col min="2" max="2" width="39.88671875" customWidth="1"/>
  </cols>
  <sheetData>
    <row r="1" spans="2:18" ht="15" thickBot="1" x14ac:dyDescent="0.35"/>
    <row r="2" spans="2:18" ht="81" customHeight="1" thickTop="1" thickBot="1" x14ac:dyDescent="0.35">
      <c r="B2" s="90" t="s">
        <v>162</v>
      </c>
      <c r="C2" s="75"/>
      <c r="D2" s="75"/>
      <c r="E2" s="75"/>
      <c r="F2" s="75"/>
      <c r="G2" s="75"/>
      <c r="H2" s="75"/>
      <c r="I2" s="75"/>
      <c r="J2" s="76"/>
    </row>
    <row r="6" spans="2:18" ht="17.399999999999999" x14ac:dyDescent="0.3">
      <c r="B6" s="85" t="s">
        <v>62</v>
      </c>
      <c r="C6" s="83"/>
      <c r="D6" s="83"/>
      <c r="E6" s="83"/>
      <c r="F6" s="83"/>
      <c r="G6" s="84"/>
      <c r="H6" s="87"/>
      <c r="I6" s="87"/>
      <c r="J6" s="87"/>
      <c r="K6" s="87"/>
      <c r="L6" s="87"/>
      <c r="M6" s="87"/>
      <c r="N6" s="87"/>
      <c r="O6" s="87"/>
      <c r="P6" s="87"/>
      <c r="Q6" s="87"/>
      <c r="R6" s="87"/>
    </row>
    <row r="7" spans="2:18" ht="31.2" x14ac:dyDescent="0.3">
      <c r="B7" s="82" t="s">
        <v>0</v>
      </c>
      <c r="C7" s="82" t="s">
        <v>1</v>
      </c>
      <c r="D7" s="82" t="s">
        <v>2</v>
      </c>
      <c r="E7" s="82" t="s">
        <v>3</v>
      </c>
      <c r="F7" s="82" t="s">
        <v>4</v>
      </c>
      <c r="G7" s="82" t="s">
        <v>63</v>
      </c>
      <c r="H7" s="87"/>
      <c r="I7" s="87"/>
      <c r="J7" s="87"/>
      <c r="K7" s="87"/>
      <c r="L7" s="87"/>
      <c r="M7" s="87"/>
      <c r="N7" s="87"/>
      <c r="O7" s="87"/>
      <c r="P7" s="87"/>
      <c r="Q7" s="87"/>
      <c r="R7" s="87"/>
    </row>
    <row r="8" spans="2:18" ht="31.2" x14ac:dyDescent="0.3">
      <c r="B8" s="81" t="s">
        <v>64</v>
      </c>
      <c r="C8" s="81" t="s">
        <v>65</v>
      </c>
      <c r="D8" s="81" t="s">
        <v>66</v>
      </c>
      <c r="E8" s="81" t="s">
        <v>67</v>
      </c>
      <c r="F8" s="81" t="s">
        <v>68</v>
      </c>
      <c r="G8" s="81" t="s">
        <v>84</v>
      </c>
      <c r="H8" s="87"/>
      <c r="I8" s="87"/>
      <c r="J8" s="87"/>
      <c r="K8" s="87"/>
      <c r="L8" s="87"/>
      <c r="M8" s="87"/>
      <c r="N8" s="87"/>
      <c r="O8" s="87"/>
      <c r="P8" s="87"/>
      <c r="Q8" s="87"/>
      <c r="R8" s="87"/>
    </row>
    <row r="9" spans="2:18" ht="31.2" x14ac:dyDescent="0.3">
      <c r="B9" s="88" t="s">
        <v>69</v>
      </c>
      <c r="C9" s="88">
        <v>432521</v>
      </c>
      <c r="D9" s="88">
        <v>227724</v>
      </c>
      <c r="E9" s="88">
        <v>530619</v>
      </c>
      <c r="F9" s="88">
        <v>182911</v>
      </c>
      <c r="G9" s="88">
        <v>182000</v>
      </c>
      <c r="H9" s="87"/>
      <c r="I9" s="87"/>
      <c r="J9" s="87"/>
      <c r="K9" s="87"/>
      <c r="L9" s="87"/>
      <c r="M9" s="87"/>
      <c r="N9" s="87"/>
      <c r="O9" s="87"/>
      <c r="P9" s="87"/>
      <c r="Q9" s="87"/>
      <c r="R9" s="87"/>
    </row>
    <row r="10" spans="2:18" ht="15.6" x14ac:dyDescent="0.3">
      <c r="B10" s="89"/>
      <c r="C10" s="89"/>
      <c r="D10" s="89"/>
      <c r="E10" s="89"/>
      <c r="F10" s="89"/>
      <c r="G10" s="89"/>
      <c r="H10" s="87"/>
      <c r="I10" s="87"/>
      <c r="J10" s="87"/>
      <c r="K10" s="87"/>
      <c r="L10" s="87"/>
      <c r="M10" s="87"/>
      <c r="N10" s="87"/>
      <c r="O10" s="87"/>
      <c r="P10" s="87"/>
      <c r="Q10" s="87"/>
      <c r="R10" s="87"/>
    </row>
    <row r="11" spans="2:18" ht="15.6" x14ac:dyDescent="0.3">
      <c r="B11" s="88" t="s">
        <v>70</v>
      </c>
      <c r="C11" s="88">
        <v>44244</v>
      </c>
      <c r="D11" s="88">
        <v>310416</v>
      </c>
      <c r="E11" s="88"/>
      <c r="F11" s="88">
        <v>92490</v>
      </c>
      <c r="G11" s="88">
        <v>921000</v>
      </c>
      <c r="H11" s="87"/>
      <c r="I11" s="87"/>
      <c r="J11" s="87"/>
      <c r="K11" s="87"/>
      <c r="L11" s="87"/>
      <c r="M11" s="87"/>
      <c r="N11" s="87"/>
      <c r="O11" s="87"/>
      <c r="P11" s="87"/>
      <c r="Q11" s="87"/>
      <c r="R11" s="87"/>
    </row>
    <row r="12" spans="2:18" ht="15.6" x14ac:dyDescent="0.3">
      <c r="B12" s="89" t="s">
        <v>71</v>
      </c>
      <c r="C12" s="89">
        <v>433796</v>
      </c>
      <c r="D12" s="89">
        <v>191447</v>
      </c>
      <c r="E12" s="89">
        <v>18073</v>
      </c>
      <c r="F12" s="89">
        <v>484888</v>
      </c>
      <c r="G12" s="89">
        <v>484000</v>
      </c>
      <c r="H12" s="87"/>
      <c r="I12" s="87"/>
      <c r="J12" s="87"/>
      <c r="K12" s="87"/>
      <c r="L12" s="87"/>
      <c r="M12" s="87"/>
      <c r="N12" s="87"/>
      <c r="O12" s="87"/>
      <c r="P12" s="87"/>
      <c r="Q12" s="87"/>
      <c r="R12" s="87"/>
    </row>
    <row r="13" spans="2:18" ht="15.6" x14ac:dyDescent="0.3">
      <c r="B13" s="88" t="s">
        <v>72</v>
      </c>
      <c r="C13" s="88">
        <v>50000</v>
      </c>
      <c r="D13" s="88">
        <v>60000</v>
      </c>
      <c r="E13" s="88">
        <v>30000</v>
      </c>
      <c r="F13" s="88"/>
      <c r="G13" s="88">
        <v>87494</v>
      </c>
      <c r="H13" s="87"/>
      <c r="I13" s="87"/>
      <c r="J13" s="87"/>
      <c r="K13" s="87"/>
      <c r="L13" s="87"/>
      <c r="M13" s="87"/>
      <c r="N13" s="87"/>
      <c r="O13" s="87"/>
      <c r="P13" s="87"/>
      <c r="Q13" s="87"/>
      <c r="R13" s="87"/>
    </row>
    <row r="14" spans="2:18" ht="15.6" x14ac:dyDescent="0.3">
      <c r="B14" s="89"/>
      <c r="C14" s="89"/>
      <c r="D14" s="89"/>
      <c r="E14" s="89"/>
      <c r="F14" s="89"/>
      <c r="G14" s="89"/>
      <c r="H14" s="87"/>
      <c r="I14" s="87"/>
      <c r="J14" s="87"/>
      <c r="K14" s="87"/>
      <c r="L14" s="87"/>
      <c r="M14" s="87"/>
      <c r="N14" s="87"/>
      <c r="O14" s="87"/>
      <c r="P14" s="87"/>
      <c r="Q14" s="87"/>
      <c r="R14" s="87"/>
    </row>
    <row r="15" spans="2:18" ht="15.6" x14ac:dyDescent="0.3">
      <c r="B15" s="88" t="s">
        <v>73</v>
      </c>
      <c r="C15" s="88">
        <v>539770</v>
      </c>
      <c r="D15" s="88">
        <v>125314</v>
      </c>
      <c r="E15" s="88">
        <v>38178</v>
      </c>
      <c r="F15" s="88">
        <v>419229</v>
      </c>
      <c r="G15" s="88">
        <v>419000</v>
      </c>
      <c r="H15" s="87"/>
      <c r="I15" s="87"/>
      <c r="J15" s="87"/>
      <c r="K15" s="87"/>
      <c r="L15" s="87"/>
      <c r="M15" s="87"/>
      <c r="N15" s="87"/>
      <c r="O15" s="87"/>
      <c r="P15" s="87"/>
      <c r="Q15" s="87"/>
      <c r="R15" s="87"/>
    </row>
    <row r="16" spans="2:18" ht="16.2" thickBot="1" x14ac:dyDescent="0.35">
      <c r="B16" s="89" t="s">
        <v>74</v>
      </c>
      <c r="C16" s="89">
        <v>597406</v>
      </c>
      <c r="D16" s="89">
        <v>144037</v>
      </c>
      <c r="E16" s="89">
        <v>362484</v>
      </c>
      <c r="F16" s="89">
        <v>238034</v>
      </c>
      <c r="G16" s="89">
        <v>238000</v>
      </c>
      <c r="H16" s="87"/>
      <c r="I16" s="87"/>
      <c r="J16" s="87"/>
      <c r="K16" s="87"/>
      <c r="L16" s="87"/>
      <c r="M16" s="87"/>
      <c r="N16" s="87"/>
      <c r="O16" s="87"/>
      <c r="P16" s="87"/>
      <c r="Q16" s="87"/>
      <c r="R16" s="87"/>
    </row>
    <row r="17" spans="2:18" ht="120" customHeight="1" thickTop="1" thickBot="1" x14ac:dyDescent="0.35">
      <c r="B17" s="88"/>
      <c r="C17" s="88"/>
      <c r="D17" s="88"/>
      <c r="E17" s="88"/>
      <c r="F17" s="88"/>
      <c r="G17" s="88"/>
      <c r="H17" s="87"/>
      <c r="I17" s="87"/>
      <c r="J17" s="74" t="s">
        <v>75</v>
      </c>
      <c r="K17" s="75"/>
      <c r="L17" s="75"/>
      <c r="M17" s="75"/>
      <c r="N17" s="75"/>
      <c r="O17" s="75"/>
      <c r="P17" s="75"/>
      <c r="Q17" s="75"/>
      <c r="R17" s="76"/>
    </row>
    <row r="18" spans="2:18" ht="16.2" thickTop="1" x14ac:dyDescent="0.3">
      <c r="B18" s="89"/>
      <c r="C18" s="89"/>
      <c r="D18" s="89"/>
      <c r="E18" s="89"/>
      <c r="F18" s="89"/>
      <c r="G18" s="89"/>
      <c r="H18" s="87"/>
      <c r="I18" s="87"/>
      <c r="J18" s="87"/>
      <c r="K18" s="87"/>
      <c r="L18" s="87"/>
      <c r="M18" s="87"/>
      <c r="N18" s="87"/>
      <c r="O18" s="87"/>
      <c r="P18" s="87"/>
      <c r="Q18" s="87"/>
      <c r="R18" s="87"/>
    </row>
    <row r="19" spans="2:18" ht="15.6" x14ac:dyDescent="0.3">
      <c r="B19" s="89" t="s">
        <v>76</v>
      </c>
      <c r="C19" s="89">
        <v>65000</v>
      </c>
      <c r="D19" s="89"/>
      <c r="E19" s="89">
        <v>70000</v>
      </c>
      <c r="F19" s="89">
        <v>40000</v>
      </c>
      <c r="G19" s="89">
        <v>380000</v>
      </c>
      <c r="H19" s="86"/>
      <c r="I19" s="86"/>
      <c r="J19" s="86"/>
      <c r="K19" s="86"/>
      <c r="L19" s="86"/>
      <c r="M19" s="86"/>
      <c r="N19" s="86"/>
      <c r="O19" s="86"/>
      <c r="P19" s="86"/>
      <c r="Q19" s="86"/>
      <c r="R19" s="86"/>
    </row>
    <row r="20" spans="2:18" ht="15.6" x14ac:dyDescent="0.3">
      <c r="B20" s="89" t="s">
        <v>77</v>
      </c>
      <c r="C20" s="89">
        <v>65000</v>
      </c>
      <c r="D20" s="89"/>
      <c r="E20" s="89">
        <v>70000</v>
      </c>
      <c r="F20" s="89">
        <v>40000</v>
      </c>
      <c r="G20" s="89">
        <v>380000</v>
      </c>
      <c r="H20" s="86"/>
      <c r="I20" s="86"/>
      <c r="J20" s="86"/>
      <c r="K20" s="86"/>
      <c r="L20" s="86"/>
      <c r="M20" s="86"/>
      <c r="N20" s="86"/>
      <c r="O20" s="86"/>
      <c r="P20" s="86"/>
      <c r="Q20" s="86"/>
      <c r="R20" s="86"/>
    </row>
    <row r="23" spans="2:18" ht="21" x14ac:dyDescent="0.3">
      <c r="B23" s="97" t="s">
        <v>163</v>
      </c>
      <c r="C23" s="92"/>
      <c r="D23" s="91"/>
    </row>
    <row r="24" spans="2:18" x14ac:dyDescent="0.3">
      <c r="B24" s="94" t="s">
        <v>164</v>
      </c>
      <c r="C24" s="92"/>
      <c r="D24" s="91"/>
    </row>
    <row r="25" spans="2:18" x14ac:dyDescent="0.3">
      <c r="B25" s="95" t="s">
        <v>168</v>
      </c>
      <c r="C25" s="92"/>
      <c r="D25" s="91"/>
    </row>
    <row r="26" spans="2:18" x14ac:dyDescent="0.3">
      <c r="B26" s="96" t="s">
        <v>167</v>
      </c>
      <c r="C26" s="92"/>
      <c r="D26" s="91"/>
    </row>
    <row r="27" spans="2:18" x14ac:dyDescent="0.3">
      <c r="B27" s="96" t="s">
        <v>165</v>
      </c>
      <c r="C27" s="92"/>
      <c r="D27" s="91"/>
    </row>
    <row r="28" spans="2:18" x14ac:dyDescent="0.3">
      <c r="B28" s="96" t="s">
        <v>166</v>
      </c>
      <c r="C28" s="92"/>
      <c r="D28" s="91"/>
    </row>
  </sheetData>
  <mergeCells count="3">
    <mergeCell ref="B6:G6"/>
    <mergeCell ref="J17:R17"/>
    <mergeCell ref="B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85050-1B3F-41DE-9D45-CF2F37982BA4}">
  <dimension ref="A1:I13"/>
  <sheetViews>
    <sheetView workbookViewId="0">
      <selection sqref="A1:F9"/>
    </sheetView>
  </sheetViews>
  <sheetFormatPr defaultRowHeight="14.4" x14ac:dyDescent="0.3"/>
  <cols>
    <col min="1" max="1" width="16.109375" bestFit="1" customWidth="1"/>
    <col min="2" max="6" width="11.88671875" bestFit="1" customWidth="1"/>
  </cols>
  <sheetData>
    <row r="1" spans="1:9" x14ac:dyDescent="0.3">
      <c r="A1" s="91" t="s">
        <v>64</v>
      </c>
      <c r="B1" s="91" t="s">
        <v>65</v>
      </c>
      <c r="C1" s="91" t="s">
        <v>66</v>
      </c>
      <c r="D1" s="91" t="s">
        <v>67</v>
      </c>
      <c r="E1" s="91" t="s">
        <v>68</v>
      </c>
      <c r="F1" s="91" t="s">
        <v>84</v>
      </c>
    </row>
    <row r="2" spans="1:9" x14ac:dyDescent="0.3">
      <c r="A2" s="91" t="s">
        <v>69</v>
      </c>
      <c r="B2" s="93">
        <v>432521</v>
      </c>
      <c r="C2" s="93">
        <v>227724</v>
      </c>
      <c r="D2" s="93">
        <v>530619</v>
      </c>
      <c r="E2" s="93">
        <v>182911</v>
      </c>
      <c r="F2" s="93">
        <v>182000</v>
      </c>
    </row>
    <row r="3" spans="1:9" x14ac:dyDescent="0.3">
      <c r="A3" s="91" t="s">
        <v>70</v>
      </c>
      <c r="B3" s="93">
        <v>44244</v>
      </c>
      <c r="C3" s="93">
        <v>310416</v>
      </c>
      <c r="D3" s="93">
        <v>0</v>
      </c>
      <c r="E3" s="93">
        <v>92490</v>
      </c>
      <c r="F3" s="93">
        <v>921000</v>
      </c>
    </row>
    <row r="4" spans="1:9" x14ac:dyDescent="0.3">
      <c r="A4" s="91" t="s">
        <v>71</v>
      </c>
      <c r="B4" s="93">
        <v>433796</v>
      </c>
      <c r="C4" s="93">
        <v>191447</v>
      </c>
      <c r="D4" s="93">
        <v>18073</v>
      </c>
      <c r="E4" s="93">
        <v>484888</v>
      </c>
      <c r="F4" s="93">
        <v>484000</v>
      </c>
    </row>
    <row r="5" spans="1:9" x14ac:dyDescent="0.3">
      <c r="A5" s="91" t="s">
        <v>72</v>
      </c>
      <c r="B5" s="93">
        <v>50000</v>
      </c>
      <c r="C5" s="93">
        <v>60000</v>
      </c>
      <c r="D5" s="93">
        <v>30000</v>
      </c>
      <c r="E5" s="93">
        <v>0</v>
      </c>
      <c r="F5" s="93">
        <v>87494</v>
      </c>
    </row>
    <row r="6" spans="1:9" x14ac:dyDescent="0.3">
      <c r="A6" s="91" t="s">
        <v>73</v>
      </c>
      <c r="B6" s="93">
        <v>539770</v>
      </c>
      <c r="C6" s="93">
        <v>125314</v>
      </c>
      <c r="D6" s="93">
        <v>38178</v>
      </c>
      <c r="E6" s="93">
        <v>419229</v>
      </c>
      <c r="F6" s="93">
        <v>419000</v>
      </c>
    </row>
    <row r="7" spans="1:9" x14ac:dyDescent="0.3">
      <c r="A7" s="91" t="s">
        <v>74</v>
      </c>
      <c r="B7" s="93">
        <v>597406</v>
      </c>
      <c r="C7" s="93">
        <v>144037</v>
      </c>
      <c r="D7" s="93">
        <v>362484</v>
      </c>
      <c r="E7" s="93">
        <v>238034</v>
      </c>
      <c r="F7" s="93">
        <v>238000</v>
      </c>
    </row>
    <row r="8" spans="1:9" x14ac:dyDescent="0.3">
      <c r="A8" s="91" t="s">
        <v>76</v>
      </c>
      <c r="B8" s="93">
        <v>65000</v>
      </c>
      <c r="C8" s="93">
        <v>0</v>
      </c>
      <c r="D8" s="93">
        <v>70000</v>
      </c>
      <c r="E8" s="93">
        <v>40000</v>
      </c>
      <c r="F8" s="93">
        <v>380000</v>
      </c>
    </row>
    <row r="9" spans="1:9" x14ac:dyDescent="0.3">
      <c r="A9" s="91" t="s">
        <v>77</v>
      </c>
      <c r="B9" s="93">
        <v>65000</v>
      </c>
      <c r="C9" s="93">
        <v>0</v>
      </c>
      <c r="D9" s="93">
        <v>70000</v>
      </c>
      <c r="E9" s="93">
        <v>40000</v>
      </c>
      <c r="F9" s="93">
        <v>380000</v>
      </c>
    </row>
    <row r="11" spans="1:9" ht="15" thickBot="1" x14ac:dyDescent="0.35"/>
    <row r="12" spans="1:9" ht="90" customHeight="1" thickTop="1" thickBot="1" x14ac:dyDescent="0.35">
      <c r="A12" s="74" t="s">
        <v>75</v>
      </c>
      <c r="B12" s="75"/>
      <c r="C12" s="75"/>
      <c r="D12" s="75"/>
      <c r="E12" s="75"/>
      <c r="F12" s="75"/>
      <c r="G12" s="75"/>
      <c r="H12" s="75"/>
      <c r="I12" s="76"/>
    </row>
    <row r="13" spans="1:9" ht="15" thickTop="1" x14ac:dyDescent="0.3"/>
  </sheetData>
  <mergeCells count="1">
    <mergeCell ref="A12:I1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8F70-115D-4336-9099-543454D1B9F8}">
  <dimension ref="J1:O10"/>
  <sheetViews>
    <sheetView showGridLines="0" showRowColHeaders="0" tabSelected="1" topLeftCell="C1" workbookViewId="0">
      <selection activeCell="Q26" sqref="Q26"/>
    </sheetView>
  </sheetViews>
  <sheetFormatPr defaultRowHeight="14.4" x14ac:dyDescent="0.3"/>
  <cols>
    <col min="1" max="9" width="8.88671875" style="98"/>
    <col min="10" max="10" width="21.44140625" style="98" customWidth="1"/>
    <col min="11" max="15" width="13.21875" style="98" bestFit="1" customWidth="1"/>
    <col min="16" max="16384" width="8.88671875" style="98"/>
  </cols>
  <sheetData>
    <row r="1" spans="10:15" x14ac:dyDescent="0.3">
      <c r="J1" s="99" t="s">
        <v>174</v>
      </c>
      <c r="K1" s="99" t="s">
        <v>169</v>
      </c>
      <c r="L1" s="99" t="s">
        <v>170</v>
      </c>
      <c r="M1" s="99" t="s">
        <v>171</v>
      </c>
      <c r="N1" s="99" t="s">
        <v>172</v>
      </c>
      <c r="O1" s="99" t="s">
        <v>173</v>
      </c>
    </row>
    <row r="2" spans="10:15" x14ac:dyDescent="0.3">
      <c r="J2" s="100" t="s">
        <v>74</v>
      </c>
      <c r="K2" s="101">
        <v>597406</v>
      </c>
      <c r="L2" s="101">
        <v>144037</v>
      </c>
      <c r="M2" s="101">
        <v>362484</v>
      </c>
      <c r="N2" s="101">
        <v>238034</v>
      </c>
      <c r="O2" s="101">
        <v>238000</v>
      </c>
    </row>
    <row r="3" spans="10:15" x14ac:dyDescent="0.3">
      <c r="J3" s="100" t="s">
        <v>71</v>
      </c>
      <c r="K3" s="101">
        <v>433796</v>
      </c>
      <c r="L3" s="101">
        <v>191447</v>
      </c>
      <c r="M3" s="101">
        <v>18073</v>
      </c>
      <c r="N3" s="101">
        <v>484888</v>
      </c>
      <c r="O3" s="101">
        <v>484000</v>
      </c>
    </row>
    <row r="4" spans="10:15" x14ac:dyDescent="0.3">
      <c r="J4" s="100" t="s">
        <v>69</v>
      </c>
      <c r="K4" s="101">
        <v>432521</v>
      </c>
      <c r="L4" s="101">
        <v>227724</v>
      </c>
      <c r="M4" s="101">
        <v>530619</v>
      </c>
      <c r="N4" s="101">
        <v>182911</v>
      </c>
      <c r="O4" s="101">
        <v>182000</v>
      </c>
    </row>
    <row r="5" spans="10:15" x14ac:dyDescent="0.3">
      <c r="J5" s="100" t="s">
        <v>73</v>
      </c>
      <c r="K5" s="101">
        <v>539770</v>
      </c>
      <c r="L5" s="101">
        <v>125314</v>
      </c>
      <c r="M5" s="101">
        <v>38178</v>
      </c>
      <c r="N5" s="101">
        <v>419229</v>
      </c>
      <c r="O5" s="101">
        <v>419000</v>
      </c>
    </row>
    <row r="6" spans="10:15" x14ac:dyDescent="0.3">
      <c r="J6" s="100" t="s">
        <v>72</v>
      </c>
      <c r="K6" s="101">
        <v>50000</v>
      </c>
      <c r="L6" s="101">
        <v>60000</v>
      </c>
      <c r="M6" s="101">
        <v>30000</v>
      </c>
      <c r="N6" s="101">
        <v>0</v>
      </c>
      <c r="O6" s="101">
        <v>87494</v>
      </c>
    </row>
    <row r="7" spans="10:15" x14ac:dyDescent="0.3">
      <c r="J7" s="100" t="s">
        <v>76</v>
      </c>
      <c r="K7" s="101">
        <v>65000</v>
      </c>
      <c r="L7" s="101">
        <v>0</v>
      </c>
      <c r="M7" s="101">
        <v>70000</v>
      </c>
      <c r="N7" s="101">
        <v>40000</v>
      </c>
      <c r="O7" s="101">
        <v>380000</v>
      </c>
    </row>
    <row r="8" spans="10:15" x14ac:dyDescent="0.3">
      <c r="J8" s="100" t="s">
        <v>70</v>
      </c>
      <c r="K8" s="101">
        <v>44244</v>
      </c>
      <c r="L8" s="101">
        <v>310416</v>
      </c>
      <c r="M8" s="101">
        <v>0</v>
      </c>
      <c r="N8" s="101">
        <v>92490</v>
      </c>
      <c r="O8" s="101">
        <v>921000</v>
      </c>
    </row>
    <row r="9" spans="10:15" x14ac:dyDescent="0.3">
      <c r="J9" s="100" t="s">
        <v>77</v>
      </c>
      <c r="K9" s="101">
        <v>65000</v>
      </c>
      <c r="L9" s="101">
        <v>0</v>
      </c>
      <c r="M9" s="101">
        <v>70000</v>
      </c>
      <c r="N9" s="101">
        <v>40000</v>
      </c>
      <c r="O9" s="101">
        <v>380000</v>
      </c>
    </row>
    <row r="10" spans="10:15" x14ac:dyDescent="0.3">
      <c r="J10" s="102" t="s">
        <v>150</v>
      </c>
      <c r="K10" s="103">
        <v>2227737</v>
      </c>
      <c r="L10" s="103">
        <v>1058938</v>
      </c>
      <c r="M10" s="103">
        <v>1119354</v>
      </c>
      <c r="N10" s="103">
        <v>1497552</v>
      </c>
      <c r="O10" s="103">
        <v>3091494</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940EE4-731D-4104-9CF5-BD25213249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Un Clean Data</vt:lpstr>
      <vt:lpstr>claened data_01</vt:lpstr>
      <vt:lpstr>Unclean Data </vt:lpstr>
      <vt:lpstr>Clean data_02</vt:lpstr>
      <vt:lpstr>Clean and Tranformed table</vt:lpstr>
      <vt:lpstr>Basic chart</vt:lpstr>
      <vt:lpstr>Table-Slicers</vt:lpstr>
      <vt:lpstr>Data for Pivot table and </vt:lpstr>
      <vt:lpstr> Pivot table and chart</vt:lpstr>
      <vt:lpstr> Pivot table Timeline</vt:lpstr>
      <vt:lpstr>Uncleaned Data</vt:lpstr>
      <vt:lpstr>Cleaned Data for 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KUMAR</dc:creator>
  <cp:lastModifiedBy>SATYAM KUMAR</cp:lastModifiedBy>
  <dcterms:created xsi:type="dcterms:W3CDTF">2026-09-09T07:53:24Z</dcterms:created>
  <dcterms:modified xsi:type="dcterms:W3CDTF">2026-09-15T17:21:15Z</dcterms:modified>
</cp:coreProperties>
</file>